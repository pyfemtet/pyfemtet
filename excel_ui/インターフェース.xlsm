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11592\Documents\myFiles2\working\1_PyFemtetOpt\PyFemtetDev3\pyfemtet\excel_ui\"/>
    </mc:Choice>
  </mc:AlternateContent>
  <xr:revisionPtr revIDLastSave="0" documentId="13_ncr:1_{88A57A5C-9E82-498F-96A6-FF6F7FC2FC39}" xr6:coauthVersionLast="47" xr6:coauthVersionMax="47" xr10:uidLastSave="{00000000-0000-0000-0000-000000000000}"/>
  <bookViews>
    <workbookView xWindow="3540" yWindow="2350" windowWidth="14400" windowHeight="8260" activeTab="3" xr2:uid="{FD7BED01-BDD1-4531-A4F6-3F37526DEC5F}"/>
  </bookViews>
  <sheets>
    <sheet name="設計変数" sheetId="2" r:id="rId1"/>
    <sheet name="目的関数" sheetId="3" r:id="rId2"/>
    <sheet name="拘束関数" sheetId="5" r:id="rId3"/>
    <sheet name="最適化の設定" sheetId="4" r:id="rId4"/>
    <sheet name="設計変数（例）" sheetId="7" r:id="rId5"/>
  </sheets>
  <functionGroups builtInGroupCount="19"/>
  <definedNames>
    <definedName name="algorithm">最適化の設定!$C$8</definedName>
    <definedName name="constraint_sheet_name">最適化の設定!$C$7</definedName>
    <definedName name="depth">設計変数!#REF!</definedName>
    <definedName name="femprj_path">最適化の設定!$C$3</definedName>
    <definedName name="height">設計変数!#REF!</definedName>
    <definedName name="history_csv_path">最適化の設定!$C$12</definedName>
    <definedName name="input_sheet_name">最適化の設定!$C$5</definedName>
    <definedName name="model_name">最適化の設定!$C$4</definedName>
    <definedName name="n_parallel">最適化の設定!$C$13</definedName>
    <definedName name="n_trials">最適化の設定!$C$9</definedName>
    <definedName name="output_sheet_name">最適化の設定!$C$6</definedName>
    <definedName name="python">最適化の設定!$C$14</definedName>
    <definedName name="seed">最適化の設定!$C$11</definedName>
    <definedName name="timeout">最適化の設定!$C$10</definedName>
    <definedName name="width">設計変数!#REF!</definedName>
    <definedName name="最小値">目的関数!#REF!</definedName>
    <definedName name="最大値">目的関数!#REF!</definedName>
    <definedName name="任意座標">目的関数!#REF!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5" l="1"/>
  <c r="C6" i="3"/>
  <c r="D6" i="5" a="1"/>
  <c r="D6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<sst xmlns="http://schemas.openxmlformats.org/spreadsheetml/2006/main" count="74" uniqueCount="70">
  <si>
    <t>モデル名</t>
    <rPh sb="3" eb="4">
      <t>メイ</t>
    </rPh>
    <phoneticPr fontId="1"/>
  </si>
  <si>
    <t>値</t>
    <rPh sb="0" eb="1">
      <t>アタイ</t>
    </rPh>
    <phoneticPr fontId="1"/>
  </si>
  <si>
    <t>項目</t>
    <rPh sb="0" eb="2">
      <t>コウモク</t>
    </rPh>
    <phoneticPr fontId="1"/>
  </si>
  <si>
    <t>設計変数</t>
    <rPh sb="0" eb="2">
      <t>セッケイ</t>
    </rPh>
    <rPh sb="2" eb="4">
      <t>ヘンスウ</t>
    </rPh>
    <phoneticPr fontId="1"/>
  </si>
  <si>
    <t>目的関数</t>
    <rPh sb="0" eb="2">
      <t>モクテキ</t>
    </rPh>
    <rPh sb="2" eb="4">
      <t>カンスウ</t>
    </rPh>
    <phoneticPr fontId="1"/>
  </si>
  <si>
    <t>備考</t>
    <rPh sb="0" eb="2">
      <t>ビコウ</t>
    </rPh>
    <phoneticPr fontId="1"/>
  </si>
  <si>
    <t>時間制限</t>
    <rPh sb="0" eb="2">
      <t>ジカン</t>
    </rPh>
    <rPh sb="2" eb="4">
      <t>セイゲン</t>
    </rPh>
    <phoneticPr fontId="1"/>
  </si>
  <si>
    <t>シード値</t>
    <rPh sb="3" eb="4">
      <t>アタイ</t>
    </rPh>
    <phoneticPr fontId="1"/>
  </si>
  <si>
    <t>csv 名</t>
    <rPh sb="4" eb="5">
      <t>メイ</t>
    </rPh>
    <phoneticPr fontId="1"/>
  </si>
  <si>
    <t>並列プロセス数</t>
    <rPh sb="0" eb="2">
      <t>ヘイレツ</t>
    </rPh>
    <rPh sb="6" eb="7">
      <t>スウ</t>
    </rPh>
    <phoneticPr fontId="1"/>
  </si>
  <si>
    <t>設計変数シート名</t>
    <rPh sb="0" eb="2">
      <t>セッケイ</t>
    </rPh>
    <rPh sb="2" eb="4">
      <t>ヘンスウ</t>
    </rPh>
    <rPh sb="7" eb="8">
      <t>メイ</t>
    </rPh>
    <phoneticPr fontId="1"/>
  </si>
  <si>
    <t>目的関数シート名</t>
    <rPh sb="0" eb="2">
      <t>モクテキ</t>
    </rPh>
    <rPh sb="2" eb="4">
      <t>カンスウ</t>
    </rPh>
    <rPh sb="7" eb="8">
      <t>メイ</t>
    </rPh>
    <phoneticPr fontId="1"/>
  </si>
  <si>
    <t>python の実行パス</t>
    <rPh sb="8" eb="10">
      <t>ジッコウ</t>
    </rPh>
    <phoneticPr fontId="1"/>
  </si>
  <si>
    <t>プロジェクト名</t>
    <rPh sb="6" eb="7">
      <t>メイ</t>
    </rPh>
    <phoneticPr fontId="1"/>
  </si>
  <si>
    <t>最適化手法</t>
    <rPh sb="0" eb="3">
      <t>サイテキカ</t>
    </rPh>
    <rPh sb="3" eb="5">
      <t>シュホウ</t>
    </rPh>
    <phoneticPr fontId="1"/>
  </si>
  <si>
    <t>指定しない場合は「日付-時間.csv」が生成されます。</t>
    <rPh sb="0" eb="2">
      <t>シテイ</t>
    </rPh>
    <rPh sb="5" eb="7">
      <t>バアイ</t>
    </rPh>
    <rPh sb="9" eb="11">
      <t>ヒヅケ</t>
    </rPh>
    <rPh sb="12" eb="14">
      <t>ジカン</t>
    </rPh>
    <rPh sb="20" eb="22">
      <t>セイセイ</t>
    </rPh>
    <phoneticPr fontId="1"/>
  </si>
  <si>
    <t>複数の Femtet を使って最適化のイテレーションを並列化します。</t>
    <rPh sb="0" eb="2">
      <t>フクスウ</t>
    </rPh>
    <rPh sb="12" eb="13">
      <t>ツカ</t>
    </rPh>
    <rPh sb="15" eb="18">
      <t>サイテキカ</t>
    </rPh>
    <rPh sb="27" eb="30">
      <t>ヘイレツカ</t>
    </rPh>
    <phoneticPr fontId="1"/>
  </si>
  <si>
    <t>Random, QMC, BoTorch, PoFBoTorch, TPE, NSGA2 から選んでください。</t>
    <rPh sb="47" eb="48">
      <t>エラ</t>
    </rPh>
    <phoneticPr fontId="1"/>
  </si>
  <si>
    <t>既存のプロジェクトを開く場合、ワークブックと同じフォルダに配置してください。</t>
    <rPh sb="0" eb="2">
      <t>キゾン</t>
    </rPh>
    <rPh sb="10" eb="11">
      <t>ヒラ</t>
    </rPh>
    <rPh sb="12" eb="14">
      <t>バアイ</t>
    </rPh>
    <rPh sb="22" eb="23">
      <t>オナ</t>
    </rPh>
    <rPh sb="29" eb="31">
      <t>ハイチ</t>
    </rPh>
    <phoneticPr fontId="1"/>
  </si>
  <si>
    <t>既存のプロジェクトを開く場合かつ指定しない場合、プロジェクトを開いたときの解析モデルを対象にします。</t>
    <rPh sb="16" eb="18">
      <t>シテイ</t>
    </rPh>
    <rPh sb="21" eb="23">
      <t>バアイ</t>
    </rPh>
    <rPh sb="31" eb="32">
      <t>ヒラ</t>
    </rPh>
    <rPh sb="37" eb="39">
      <t>カイセキ</t>
    </rPh>
    <rPh sb="43" eb="45">
      <t>タイショウ</t>
    </rPh>
    <phoneticPr fontId="1"/>
  </si>
  <si>
    <t>変数名</t>
    <rPh sb="0" eb="3">
      <t>ヘンスウメイ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</si>
  <si>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</si>
  <si>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</si>
  <si>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ステップ</t>
    <phoneticPr fontId="1"/>
  </si>
  <si>
    <t>使用</t>
    <rPh sb="0" eb="2">
      <t>シヨウ</t>
    </rPh>
    <phoneticPr fontId="1"/>
  </si>
  <si>
    <t>カテゴリ</t>
    <phoneticPr fontId="1"/>
  </si>
  <si>
    <t>ワイヤ</t>
    <phoneticPr fontId="1"/>
  </si>
  <si>
    <t>section_radius</t>
    <phoneticPr fontId="1"/>
  </si>
  <si>
    <t>その他</t>
    <rPh sb="2" eb="3">
      <t>タ</t>
    </rPh>
    <phoneticPr fontId="1"/>
  </si>
  <si>
    <t>gap</t>
    <phoneticPr fontId="1"/>
  </si>
  <si>
    <t>coil_radius</t>
    <phoneticPr fontId="1"/>
  </si>
  <si>
    <t>coil_pitch</t>
    <phoneticPr fontId="1"/>
  </si>
  <si>
    <t>n</t>
    <phoneticPr fontId="1"/>
  </si>
  <si>
    <t>coil_radius_grad</t>
    <phoneticPr fontId="1"/>
  </si>
  <si>
    <t>current</t>
    <phoneticPr fontId="1"/>
  </si>
  <si>
    <t>コア</t>
    <phoneticPr fontId="1"/>
  </si>
  <si>
    <t>ワイヤー線の半径</t>
    <rPh sb="4" eb="5">
      <t>セン</t>
    </rPh>
    <rPh sb="6" eb="8">
      <t>ハンケイ</t>
    </rPh>
    <phoneticPr fontId="1"/>
  </si>
  <si>
    <t>ワイヤー線の巻きピッチ</t>
    <rPh sb="4" eb="5">
      <t>セン</t>
    </rPh>
    <rPh sb="6" eb="7">
      <t>マキ</t>
    </rPh>
    <phoneticPr fontId="1"/>
  </si>
  <si>
    <t>ワイヤー線の巻き数。自然数。</t>
    <rPh sb="4" eb="5">
      <t>セン</t>
    </rPh>
    <rPh sb="6" eb="7">
      <t>マ</t>
    </rPh>
    <rPh sb="8" eb="9">
      <t>スウ</t>
    </rPh>
    <rPh sb="10" eb="13">
      <t>シゼンスウ</t>
    </rPh>
    <phoneticPr fontId="1"/>
  </si>
  <si>
    <t>ワイヤー 1 巻きごとの巻き半径の増分</t>
    <rPh sb="7" eb="8">
      <t>マ</t>
    </rPh>
    <rPh sb="12" eb="13">
      <t>マ</t>
    </rPh>
    <rPh sb="14" eb="16">
      <t>ハンケイ</t>
    </rPh>
    <rPh sb="17" eb="19">
      <t>ゾウブン</t>
    </rPh>
    <phoneticPr fontId="1"/>
  </si>
  <si>
    <t>ワイヤー線の（底面）巻き半径</t>
    <rPh sb="4" eb="5">
      <t>セン</t>
    </rPh>
    <rPh sb="7" eb="9">
      <t>テイメン</t>
    </rPh>
    <rPh sb="10" eb="11">
      <t>マキ</t>
    </rPh>
    <rPh sb="12" eb="14">
      <t>ハンケイ</t>
    </rPh>
    <phoneticPr fontId="1"/>
  </si>
  <si>
    <t>ワイヤー端面とコア端面の間隙</t>
    <rPh sb="4" eb="6">
      <t>タンメン</t>
    </rPh>
    <rPh sb="9" eb="11">
      <t>タンメン</t>
    </rPh>
    <rPh sb="12" eb="14">
      <t>カンゲキ</t>
    </rPh>
    <phoneticPr fontId="1"/>
  </si>
  <si>
    <t>目的名</t>
    <rPh sb="0" eb="2">
      <t>モクテキ</t>
    </rPh>
    <rPh sb="2" eb="3">
      <t>メイ</t>
    </rPh>
    <phoneticPr fontId="1"/>
  </si>
  <si>
    <t>値</t>
    <rPh sb="0" eb="1">
      <t>アタイ</t>
    </rPh>
    <phoneticPr fontId="1"/>
  </si>
  <si>
    <t>目標</t>
    <rPh sb="0" eb="2">
      <t>モクヒョウ</t>
    </rPh>
    <phoneticPr fontId="1"/>
  </si>
  <si>
    <t>備考</t>
    <rPh sb="0" eb="2">
      <t>ビコウ</t>
    </rPh>
    <phoneticPr fontId="1"/>
  </si>
  <si>
    <t>インダクタンス</t>
    <phoneticPr fontId="1"/>
  </si>
  <si>
    <t>マクロの出力に 1e+9 を掛けて単位を nH にすること</t>
    <rPh sb="4" eb="6">
      <t>シュツリョク</t>
    </rPh>
    <rPh sb="14" eb="15">
      <t>カ</t>
    </rPh>
    <rPh sb="17" eb="19">
      <t>タンイ</t>
    </rPh>
    <phoneticPr fontId="1"/>
  </si>
  <si>
    <t>minimize</t>
    <phoneticPr fontId="1"/>
  </si>
  <si>
    <t>体積</t>
    <rPh sb="0" eb="2">
      <t>タイセキ</t>
    </rPh>
    <phoneticPr fontId="1"/>
  </si>
  <si>
    <t>Excel 数式を使用。単位：mm3</t>
    <rPh sb="6" eb="8">
      <t>スウシキ</t>
    </rPh>
    <rPh sb="9" eb="11">
      <t>シヨウ</t>
    </rPh>
    <rPh sb="12" eb="14">
      <t>タンイ</t>
    </rPh>
    <phoneticPr fontId="1"/>
  </si>
  <si>
    <t>　巻き半径可変コイルの目的関数</t>
    <rPh sb="1" eb="2">
      <t>マ</t>
    </rPh>
    <rPh sb="3" eb="5">
      <t>ハンケイ</t>
    </rPh>
    <rPh sb="5" eb="7">
      <t>カヘン</t>
    </rPh>
    <rPh sb="11" eb="13">
      <t>モクテキ</t>
    </rPh>
    <rPh sb="13" eb="15">
      <t>カンスウ</t>
    </rPh>
    <phoneticPr fontId="1"/>
  </si>
  <si>
    <t>　巻き半径可変コイルの設計変数</t>
    <rPh sb="1" eb="2">
      <t>マ</t>
    </rPh>
    <rPh sb="3" eb="5">
      <t>ハンケイ</t>
    </rPh>
    <rPh sb="5" eb="7">
      <t>カヘン</t>
    </rPh>
    <rPh sb="11" eb="13">
      <t>セッケイ</t>
    </rPh>
    <rPh sb="13" eb="15">
      <t>ヘンスウ</t>
    </rPh>
    <phoneticPr fontId="1"/>
  </si>
  <si>
    <t>　巻き半径可変コイルの拘束式</t>
    <rPh sb="1" eb="2">
      <t>マ</t>
    </rPh>
    <rPh sb="3" eb="5">
      <t>ハンケイ</t>
    </rPh>
    <rPh sb="5" eb="7">
      <t>カヘン</t>
    </rPh>
    <rPh sb="11" eb="13">
      <t>コウソク</t>
    </rPh>
    <rPh sb="13" eb="14">
      <t>シキ</t>
    </rPh>
    <phoneticPr fontId="1"/>
  </si>
  <si>
    <t>拘束名</t>
    <rPh sb="0" eb="2">
      <t>コウソク</t>
    </rPh>
    <rPh sb="2" eb="3">
      <t>メイ</t>
    </rPh>
    <phoneticPr fontId="1"/>
  </si>
  <si>
    <t>下限</t>
    <rPh sb="0" eb="2">
      <t>カゲン</t>
    </rPh>
    <phoneticPr fontId="1"/>
  </si>
  <si>
    <t>コイル間距離</t>
    <rPh sb="3" eb="4">
      <t>アイダ</t>
    </rPh>
    <rPh sb="4" eb="6">
      <t>キョリ</t>
    </rPh>
    <phoneticPr fontId="1"/>
  </si>
  <si>
    <t>Excel 数式を使用。単位：mm</t>
    <rPh sb="6" eb="8">
      <t>スウシキ</t>
    </rPh>
    <rPh sb="9" eb="11">
      <t>シヨウ</t>
    </rPh>
    <rPh sb="12" eb="14">
      <t>タンイ</t>
    </rPh>
    <phoneticPr fontId="1"/>
  </si>
  <si>
    <t>使用</t>
    <rPh sb="0" eb="2">
      <t>シヨウ</t>
    </rPh>
    <phoneticPr fontId="1"/>
  </si>
  <si>
    <t>コア半径</t>
    <rPh sb="2" eb="4">
      <t>ハンケイ</t>
    </rPh>
    <phoneticPr fontId="1"/>
  </si>
  <si>
    <t>拘束関数シート名</t>
    <rPh sb="0" eb="2">
      <t>コウソク</t>
    </rPh>
    <rPh sb="2" eb="4">
      <t>カンスウ</t>
    </rPh>
    <rPh sb="7" eb="8">
      <t>メイ</t>
    </rPh>
    <phoneticPr fontId="1"/>
  </si>
  <si>
    <t>拘束関数</t>
    <rPh sb="0" eb="2">
      <t>コウソク</t>
    </rPh>
    <rPh sb="2" eb="4">
      <t>カンスウ</t>
    </rPh>
    <phoneticPr fontId="1"/>
  </si>
  <si>
    <t>Random</t>
    <phoneticPr fontId="1"/>
  </si>
  <si>
    <t>試行数</t>
    <rPh sb="0" eb="2">
      <t>シコウ</t>
    </rPh>
    <rPh sb="2" eb="3">
      <t>スウ</t>
    </rPh>
    <phoneticPr fontId="1"/>
  </si>
  <si>
    <t>上限</t>
    <rPh sb="0" eb="2">
      <t>ジョウゲン</t>
    </rPh>
    <phoneticPr fontId="1"/>
  </si>
  <si>
    <t>厳守</t>
    <rPh sb="0" eb="2">
      <t>ゲンシュ</t>
    </rPh>
    <phoneticPr fontId="1"/>
  </si>
  <si>
    <t>モデル破綻時の動作のデモのため「使用」を False にしている。</t>
    <rPh sb="3" eb="5">
      <t>ハタン</t>
    </rPh>
    <rPh sb="5" eb="6">
      <t>ジ</t>
    </rPh>
    <rPh sb="7" eb="9">
      <t>ドウサ</t>
    </rPh>
    <rPh sb="16" eb="18">
      <t>シヨウ</t>
    </rPh>
    <phoneticPr fontId="1"/>
  </si>
  <si>
    <t>ソルブ前に計算</t>
    <rPh sb="3" eb="4">
      <t>マエ</t>
    </rPh>
    <rPh sb="5" eb="7">
      <t>ケイサン</t>
    </rPh>
    <phoneticPr fontId="1"/>
  </si>
  <si>
    <t>電流値</t>
    <rPh sb="0" eb="2">
      <t>デンリュウ</t>
    </rPh>
    <rPh sb="2" eb="3">
      <t>アタイ</t>
    </rPh>
    <phoneticPr fontId="1"/>
  </si>
  <si>
    <r>
      <t>空欄の場合はインストールされている最新の Python で実行します。
最新でないバージョンの Python を指定する場合は `</t>
    </r>
    <r>
      <rPr>
        <sz val="11"/>
        <rFont val="Consolas"/>
        <family val="3"/>
      </rPr>
      <t>3.11</t>
    </r>
    <r>
      <rPr>
        <sz val="11"/>
        <rFont val="源ノ角ゴシック JP VF"/>
        <family val="3"/>
        <charset val="128"/>
        <scheme val="minor"/>
      </rPr>
      <t>` 等バージョン番号を入力してください。
仮想環境を使っているときはフルパスを指定してください。</t>
    </r>
    <rPh sb="0" eb="2">
      <t>クウラン</t>
    </rPh>
    <rPh sb="3" eb="5">
      <t>バアイ</t>
    </rPh>
    <rPh sb="17" eb="19">
      <t>サイシン</t>
    </rPh>
    <rPh sb="29" eb="31">
      <t>ジッコウ</t>
    </rPh>
    <rPh sb="36" eb="38">
      <t>サイシン</t>
    </rPh>
    <rPh sb="56" eb="58">
      <t>シテイ</t>
    </rPh>
    <rPh sb="60" eb="62">
      <t>バアイ</t>
    </rPh>
    <rPh sb="71" eb="72">
      <t>ナド</t>
    </rPh>
    <rPh sb="77" eb="79">
      <t>バンゴウ</t>
    </rPh>
    <rPh sb="80" eb="82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</si>
</sst>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源ノ角ゴシック JP VF"/>
      <family val="2"/>
      <charset val="128"/>
      <scheme val="minor"/>
    </font>
    <font>
      <sz val="6"/>
      <name val="源ノ角ゴシック JP VF"/>
      <family val="2"/>
      <charset val="128"/>
      <scheme val="minor"/>
    </font>
    <font>
      <b/>
      <sz val="13"/>
      <color theme="3"/>
      <name val="源ノ角ゴシック JP VF"/>
      <family val="2"/>
      <charset val="128"/>
      <scheme val="minor"/>
    </font>
    <font>
      <sz val="11"/>
      <color rgb="FF000000"/>
      <name val="Arial Black"/>
      <family val="2"/>
    </font>
    <font>
      <b/>
      <sz val="13"/>
      <name val="源ノ角ゴシック JP VF"/>
      <family val="3"/>
      <charset val="128"/>
      <scheme val="minor"/>
    </font>
    <font>
      <sz val="11"/>
      <name val="源ノ角ゴシック JP VF"/>
      <family val="3"/>
      <charset val="128"/>
      <scheme val="minor"/>
    </font>
    <font>
      <b/>
      <sz val="15"/>
      <color theme="3"/>
      <name val="源ノ角ゴシック JP VF"/>
      <family val="2"/>
      <charset val="128"/>
      <scheme val="minor"/>
    </font>
    <font>
      <sz val="11"/>
      <color rgb="FF9C0006"/>
      <name val="源ノ角ゴシック JP VF"/>
      <family val="2"/>
      <charset val="128"/>
      <scheme val="minor"/>
    </font>
    <font>
      <sz val="11"/>
      <color rgb="FF9C5700"/>
      <name val="源ノ角ゴシック JP VF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name val="源ノ角ゴシック JP VF"/>
      <family val="3"/>
      <charset val="128"/>
      <scheme val="minor"/>
    </font>
    <font>
      <sz val="11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2" borderId="0" xfId="1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center" vertical="center"/>
    </xf>
    <xf numFmtId="0" fontId="6" fillId="0" borderId="3" xfId="2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2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left" vertical="center"/>
    </xf>
    <xf numFmtId="0" fontId="5" fillId="0" borderId="2" xfId="0" applyNumberFormat="1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8" fillId="4" borderId="6" xfId="4" applyBorder="1" applyAlignment="1">
      <alignment horizontal="center" vertical="center"/>
    </xf>
    <xf numFmtId="0" fontId="8" fillId="4" borderId="4" xfId="4" applyBorder="1" applyAlignment="1">
      <alignment horizontal="center" vertical="center"/>
    </xf>
    <xf numFmtId="0" fontId="8" fillId="4" borderId="5" xfId="4" applyBorder="1" applyAlignment="1">
      <alignment horizontal="center" vertical="center"/>
    </xf>
    <xf numFmtId="0" fontId="7" fillId="3" borderId="4" xfId="3" applyBorder="1" applyAlignment="1">
      <alignment horizontal="center" vertical="center"/>
    </xf>
    <xf numFmtId="0" fontId="7" fillId="3" borderId="6" xfId="3" applyBorder="1" applyAlignment="1">
      <alignment horizontal="center" vertical="center"/>
    </xf>
    <xf numFmtId="0" fontId="7" fillId="3" borderId="2" xfId="3" applyBorder="1" applyAlignment="1">
      <alignment horizontal="center" vertical="center"/>
    </xf>
    <xf numFmtId="0" fontId="8" fillId="4" borderId="2" xfId="4" applyBorder="1" applyAlignment="1">
      <alignment horizontal="center" vertical="center"/>
    </xf>
    <xf numFmtId="0" fontId="5" fillId="2" borderId="0" xfId="0" applyFont="1" applyFill="1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0" fillId="0" borderId="2" xfId="0" applyBorder="1" applyAlignment="1">
      <alignment horizontal="center" vertical="center"/>
    </xf>
  </cellXfs>
  <cellStyles count="5">
    <cellStyle name="どちらでもない" xfId="4" builtinId="28"/>
    <cellStyle name="悪い" xfId="3" builtinId="27"/>
    <cellStyle name="見出し 1" xfId="2" builtinId="16"/>
    <cellStyle name="見出し 2" xfId="1" builtinId="1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14</xdr:row>
          <xdr:rowOff>222250</xdr:rowOff>
        </xdr:from>
        <xdr:to>
          <xdr:col>2</xdr:col>
          <xdr:colOff>1835150</xdr:colOff>
          <xdr:row>18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call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Black"/>
                  <a:ea typeface="ＭＳ Ｐゴシック"/>
                </a:rPr>
                <a:t> pyfemtet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Arial Black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14</xdr:row>
          <xdr:rowOff>209550</xdr:rowOff>
        </xdr:from>
        <xdr:to>
          <xdr:col>1</xdr:col>
          <xdr:colOff>1720850</xdr:colOff>
          <xdr:row>18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メインマクロをテスト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158750</xdr:colOff>
      <xdr:row>0</xdr:row>
      <xdr:rowOff>0</xdr:rowOff>
    </xdr:from>
    <xdr:ext cx="5787418" cy="2217017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102350" y="584200"/>
          <a:ext cx="5787418" cy="2217017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 b="1" i="1"/>
            <a:t># </a:t>
          </a:r>
          <a:r>
            <a:rPr kumimoji="1" lang="ja-JP" altLang="en-US" sz="1100" b="1" i="1"/>
            <a:t>フォーマットの制約</a:t>
          </a:r>
          <a:endParaRPr kumimoji="1" lang="en-US" altLang="ja-JP" sz="1100" b="1" i="1"/>
        </a:p>
        <a:p>
          <a:r>
            <a:rPr kumimoji="1" lang="ja-JP" altLang="en-US" sz="1100" b="0" i="0"/>
            <a:t>表形式であること</a:t>
          </a:r>
          <a:endParaRPr kumimoji="1" lang="en-US" altLang="ja-JP" sz="1100" b="0" i="0"/>
        </a:p>
        <a:p>
          <a:endParaRPr kumimoji="1" lang="en-US" altLang="ja-JP" sz="1100" b="0" i="0"/>
        </a:p>
        <a:p>
          <a:r>
            <a:rPr kumimoji="1" lang="en-US" altLang="ja-JP" sz="1100" b="1" i="1"/>
            <a:t># </a:t>
          </a:r>
          <a:r>
            <a:rPr kumimoji="1" lang="ja-JP" altLang="en-US" sz="1100" b="1" i="1"/>
            <a:t>列名の制約</a:t>
          </a:r>
          <a:endParaRPr kumimoji="1" lang="en-US" altLang="ja-JP" sz="1100" b="1" i="1"/>
        </a:p>
        <a:p>
          <a:r>
            <a:rPr kumimoji="1" lang="ja-JP" altLang="en-US" sz="1100"/>
            <a:t>「変数名」：表の左上にあること</a:t>
          </a:r>
          <a:endParaRPr kumimoji="1" lang="en-US" altLang="ja-JP" sz="1100"/>
        </a:p>
        <a:p>
          <a:r>
            <a:rPr kumimoji="1" lang="ja-JP" altLang="en-US" sz="1100"/>
            <a:t>「値」「下限」「上限」：必ず列名に含むこと</a:t>
          </a:r>
          <a:endParaRPr kumimoji="1" lang="en-US" altLang="ja-JP" sz="1100"/>
        </a:p>
        <a:p>
          <a:r>
            <a:rPr kumimoji="1" lang="ja-JP" altLang="en-US" sz="1100"/>
            <a:t>「使用」「ステップ」：必要に応じて列に含んでよく、</a:t>
          </a:r>
          <a:r>
            <a:rPr kumimoji="1" lang="en-US" altLang="ja-JP" sz="1100"/>
            <a:t>PyFemtet </a:t>
          </a:r>
          <a:r>
            <a:rPr kumimoji="1" lang="ja-JP" altLang="en-US" sz="1100"/>
            <a:t>の設定として使われる</a:t>
          </a:r>
          <a:endParaRPr kumimoji="1" lang="en-US" altLang="ja-JP" sz="1100"/>
        </a:p>
        <a:p>
          <a:r>
            <a:rPr kumimoji="1" lang="ja-JP" altLang="en-US" sz="1100"/>
            <a:t>それ以外：自由</a:t>
          </a:r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ユーザー定義 1">
      <a:dk1>
        <a:sysClr val="windowText" lastClr="000000"/>
      </a:dk1>
      <a:lt1>
        <a:sysClr val="window" lastClr="FFFFFF"/>
      </a:lt1>
      <a:dk2>
        <a:srgbClr val="000000"/>
      </a:dk2>
      <a:lt2>
        <a:srgbClr val="F5002F"/>
      </a:lt2>
      <a:accent1>
        <a:srgbClr val="F5002F"/>
      </a:accent1>
      <a:accent2>
        <a:srgbClr val="C7BBA5"/>
      </a:accent2>
      <a:accent3>
        <a:srgbClr val="00AFDB"/>
      </a:accent3>
      <a:accent4>
        <a:srgbClr val="FFC20F"/>
      </a:accent4>
      <a:accent5>
        <a:srgbClr val="91FF66"/>
      </a:accent5>
      <a:accent6>
        <a:srgbClr val="6B3077"/>
      </a:accent6>
      <a:hlink>
        <a:srgbClr val="5C6770"/>
      </a:hlink>
      <a:folHlink>
        <a:srgbClr val="BEC2C6"/>
      </a:folHlink>
    </a:clrScheme>
    <a:fontScheme name="ユーザー定義 2">
      <a:majorFont>
        <a:latin typeface="源ノ角ゴシック JP VF"/>
        <a:ea typeface="源ノ角ゴシック JP VF"/>
        <a:cs typeface=""/>
      </a:majorFont>
      <a:minorFont>
        <a:latin typeface="源ノ角ゴシック JP VF"/>
        <a:ea typeface="源ノ角ゴシック JP VF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55C79-E82B-478B-B104-BB0349DC4166}">
  <sheetPr codeName="shInput"/>
  <dimension ref="A2:I11"/>
  <sheetViews>
    <sheetView showGridLines="0" workbookViewId="0">
      <selection activeCell="E13" sqref="E13"/>
    </sheetView>
  </sheetViews>
  <sheetFormatPr defaultRowHeight="18.5" x14ac:dyDescent="0.55000000000000004"/>
  <cols>
    <col min="1" max="2" width="8.6640625" style="7"/>
    <col min="3" max="3" width="15.83203125" style="7" bestFit="1" customWidth="1"/>
    <col min="4" max="8" width="8.6640625" style="7"/>
    <col min="9" max="9" width="34.75" style="9" customWidth="1"/>
    <col min="10" max="16384" width="8.6640625" style="7"/>
  </cols>
  <sheetData>
    <row r="2" spans="1:9" s="6" customFormat="1" ht="25.5" thickBot="1" x14ac:dyDescent="0.6">
      <c r="A2" s="8" t="s">
        <v>52</v>
      </c>
      <c r="I2" s="8"/>
    </row>
    <row r="3" spans="1:9" ht="19" thickTop="1" x14ac:dyDescent="0.55000000000000004"/>
    <row r="4" spans="1:9" x14ac:dyDescent="0.55000000000000004">
      <c r="B4" s="19" t="s">
        <v>25</v>
      </c>
      <c r="C4" s="21" t="s">
        <v>20</v>
      </c>
      <c r="D4" s="19" t="s">
        <v>24</v>
      </c>
      <c r="E4" s="21" t="s">
        <v>1</v>
      </c>
      <c r="F4" s="21" t="s">
        <v>21</v>
      </c>
      <c r="G4" s="21" t="s">
        <v>22</v>
      </c>
      <c r="H4" s="19" t="s">
        <v>23</v>
      </c>
      <c r="I4" s="19" t="s">
        <v>5</v>
      </c>
    </row>
    <row r="5" spans="1:9" x14ac:dyDescent="0.55000000000000004">
      <c r="B5" s="28" t="s">
        <v>26</v>
      </c>
      <c r="C5" s="10" t="s">
        <v>27</v>
      </c>
      <c r="D5" s="10" t="b">
        <v>1</v>
      </c>
      <c r="E5" s="10">
        <v>0.5</v>
      </c>
      <c r="F5" s="10">
        <v>0.1</v>
      </c>
      <c r="G5" s="10">
        <v>1</v>
      </c>
      <c r="H5" s="10"/>
      <c r="I5" s="11" t="s">
        <v>36</v>
      </c>
    </row>
    <row r="6" spans="1:9" x14ac:dyDescent="0.55000000000000004">
      <c r="B6" s="28"/>
      <c r="C6" s="10" t="s">
        <v>30</v>
      </c>
      <c r="D6" s="10" t="b">
        <v>1</v>
      </c>
      <c r="E6" s="10">
        <v>6</v>
      </c>
      <c r="F6" s="10">
        <v>1</v>
      </c>
      <c r="G6" s="10">
        <v>10</v>
      </c>
      <c r="H6" s="10"/>
      <c r="I6" s="11" t="s">
        <v>40</v>
      </c>
    </row>
    <row r="7" spans="1:9" x14ac:dyDescent="0.55000000000000004">
      <c r="B7" s="28"/>
      <c r="C7" s="10" t="s">
        <v>31</v>
      </c>
      <c r="D7" s="10" t="b">
        <v>1</v>
      </c>
      <c r="E7" s="10">
        <v>2</v>
      </c>
      <c r="F7" s="10">
        <v>1</v>
      </c>
      <c r="G7" s="10">
        <v>3</v>
      </c>
      <c r="H7" s="10"/>
      <c r="I7" s="11" t="s">
        <v>37</v>
      </c>
    </row>
    <row r="8" spans="1:9" x14ac:dyDescent="0.55000000000000004">
      <c r="B8" s="28"/>
      <c r="C8" s="10" t="s">
        <v>32</v>
      </c>
      <c r="D8" s="10" t="b">
        <v>1</v>
      </c>
      <c r="E8" s="10">
        <v>3</v>
      </c>
      <c r="F8" s="10">
        <v>1</v>
      </c>
      <c r="G8" s="10">
        <v>5</v>
      </c>
      <c r="H8" s="10">
        <v>1</v>
      </c>
      <c r="I8" s="11" t="s">
        <v>38</v>
      </c>
    </row>
    <row r="9" spans="1:9" x14ac:dyDescent="0.55000000000000004">
      <c r="B9" s="28"/>
      <c r="C9" s="10" t="s">
        <v>33</v>
      </c>
      <c r="D9" s="10" t="b">
        <v>1</v>
      </c>
      <c r="E9" s="10">
        <v>0.1</v>
      </c>
      <c r="F9" s="10">
        <v>0</v>
      </c>
      <c r="G9" s="10">
        <v>0.5</v>
      </c>
      <c r="H9" s="10">
        <v>0.1</v>
      </c>
      <c r="I9" s="11" t="s">
        <v>39</v>
      </c>
    </row>
    <row r="10" spans="1:9" x14ac:dyDescent="0.55000000000000004">
      <c r="B10" s="10" t="s">
        <v>35</v>
      </c>
      <c r="C10" s="10" t="s">
        <v>29</v>
      </c>
      <c r="D10" s="10" t="b">
        <v>0</v>
      </c>
      <c r="E10" s="10">
        <v>0</v>
      </c>
      <c r="F10" s="10">
        <v>0</v>
      </c>
      <c r="G10" s="10">
        <v>1</v>
      </c>
      <c r="H10" s="10"/>
      <c r="I10" s="11" t="s">
        <v>41</v>
      </c>
    </row>
    <row r="11" spans="1:9" x14ac:dyDescent="0.55000000000000004">
      <c r="B11" s="10" t="s">
        <v>28</v>
      </c>
      <c r="C11" s="10" t="s">
        <v>34</v>
      </c>
      <c r="D11" s="10" t="b">
        <v>0</v>
      </c>
      <c r="E11" s="10">
        <v>1</v>
      </c>
      <c r="F11" s="10">
        <v>1E-3</v>
      </c>
      <c r="G11" s="10">
        <v>20</v>
      </c>
      <c r="H11" s="10"/>
      <c r="I11" s="11" t="s">
        <v>68</v>
      </c>
    </row>
  </sheetData>
  <mergeCells count="1">
    <mergeCell ref="B5:B9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FE301-92E0-49B2-B840-21493D2FFAA0}">
  <sheetPr codeName="shOutput"/>
  <dimension ref="A2:E6"/>
  <sheetViews>
    <sheetView showGridLines="0" workbookViewId="0">
      <selection activeCell="E8" sqref="E8"/>
    </sheetView>
  </sheetViews>
  <sheetFormatPr defaultColWidth="11.9140625" defaultRowHeight="18.5" x14ac:dyDescent="0.55000000000000004"/>
  <cols>
    <col min="1" max="1" width="8.6640625" style="12" customWidth="1"/>
    <col min="2" max="2" width="14.25" style="12" bestFit="1" customWidth="1"/>
    <col min="3" max="4" width="11.9140625" style="12"/>
    <col min="5" max="5" width="46.58203125" style="13" bestFit="1" customWidth="1"/>
    <col min="6" max="16384" width="11.9140625" style="12"/>
  </cols>
  <sheetData>
    <row r="2" spans="1:5" s="8" customFormat="1" ht="25.5" thickBot="1" x14ac:dyDescent="0.6">
      <c r="A2" s="8" t="s">
        <v>51</v>
      </c>
    </row>
    <row r="3" spans="1:5" ht="19" thickTop="1" x14ac:dyDescent="0.55000000000000004"/>
    <row r="4" spans="1:5" x14ac:dyDescent="0.55000000000000004">
      <c r="B4" s="22" t="s">
        <v>42</v>
      </c>
      <c r="C4" s="22" t="s">
        <v>43</v>
      </c>
      <c r="D4" s="22" t="s">
        <v>44</v>
      </c>
      <c r="E4" s="18" t="s">
        <v>45</v>
      </c>
    </row>
    <row r="5" spans="1:5" x14ac:dyDescent="0.55000000000000004">
      <c r="B5" s="14" t="s">
        <v>46</v>
      </c>
      <c r="C5" s="14">
        <v>141.28342103910515</v>
      </c>
      <c r="D5" s="16">
        <v>100</v>
      </c>
      <c r="E5" s="15" t="s">
        <v>47</v>
      </c>
    </row>
    <row r="6" spans="1:5" x14ac:dyDescent="0.55000000000000004">
      <c r="B6" s="14" t="s">
        <v>49</v>
      </c>
      <c r="C6" s="14">
        <f>3.14 * (設計変数!E6 + 設計変数!E9*設計変数!E8) ^ 2 * (設計変数!E7*設計変数!E8)</f>
        <v>747.75959999999998</v>
      </c>
      <c r="D6" s="14" t="s">
        <v>48</v>
      </c>
      <c r="E6" s="15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5C68-B4C2-400E-BFFE-38299C8FBEA5}">
  <sheetPr codeName="shConstraint"/>
  <dimension ref="A2:I6"/>
  <sheetViews>
    <sheetView showGridLines="0" workbookViewId="0">
      <selection activeCell="G9" sqref="G9"/>
    </sheetView>
  </sheetViews>
  <sheetFormatPr defaultRowHeight="18.5" x14ac:dyDescent="0.55000000000000004"/>
  <cols>
    <col min="2" max="2" width="14.25" bestFit="1" customWidth="1"/>
    <col min="3" max="3" width="14.25" customWidth="1"/>
    <col min="8" max="8" width="14.33203125" bestFit="1" customWidth="1"/>
    <col min="9" max="9" width="61" bestFit="1" customWidth="1"/>
  </cols>
  <sheetData>
    <row r="2" spans="1:9" s="8" customFormat="1" ht="25.5" thickBot="1" x14ac:dyDescent="0.6">
      <c r="A2" s="8" t="s">
        <v>53</v>
      </c>
    </row>
    <row r="3" spans="1:9" ht="19" thickTop="1" x14ac:dyDescent="0.55000000000000004"/>
    <row r="4" spans="1:9" x14ac:dyDescent="0.55000000000000004">
      <c r="B4" s="22" t="s">
        <v>54</v>
      </c>
      <c r="C4" s="22" t="s">
        <v>58</v>
      </c>
      <c r="D4" s="22" t="s">
        <v>43</v>
      </c>
      <c r="E4" s="18" t="s">
        <v>55</v>
      </c>
      <c r="F4" s="18" t="s">
        <v>64</v>
      </c>
      <c r="G4" s="18" t="s">
        <v>65</v>
      </c>
      <c r="H4" s="18" t="s">
        <v>67</v>
      </c>
      <c r="I4" s="18" t="s">
        <v>45</v>
      </c>
    </row>
    <row r="5" spans="1:9" x14ac:dyDescent="0.55000000000000004">
      <c r="B5" s="14" t="s">
        <v>56</v>
      </c>
      <c r="C5" s="14" t="b">
        <v>1</v>
      </c>
      <c r="D5" s="14">
        <f>設計変数!E7 - 2 *設計変数!E5</f>
        <v>1</v>
      </c>
      <c r="E5" s="16">
        <v>0.1</v>
      </c>
      <c r="F5" s="16"/>
      <c r="G5" s="16"/>
      <c r="H5" s="16"/>
      <c r="I5" s="15" t="s">
        <v>57</v>
      </c>
    </row>
    <row r="6" spans="1:9" x14ac:dyDescent="0.55000000000000004">
      <c r="B6" s="10" t="s">
        <v>59</v>
      </c>
      <c r="C6" s="10" t="b">
        <v>0</v>
      </c>
      <c r="D6" s="10" cm="1">
        <f t="array" ref="D6">GetCoreRadius()</f>
        <v>0</v>
      </c>
      <c r="E6" s="10">
        <v>1</v>
      </c>
      <c r="F6" s="10"/>
      <c r="G6" s="10"/>
      <c r="H6" s="10"/>
      <c r="I6" s="17" t="s">
        <v>66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6784C-3AB2-40AB-A27D-B2FFC4F9DEF4}">
  <sheetPr codeName="shConfig"/>
  <dimension ref="B2:D14"/>
  <sheetViews>
    <sheetView tabSelected="1" topLeftCell="A9" zoomScaleNormal="100" workbookViewId="0">
      <selection activeCell="C14" sqref="C14"/>
    </sheetView>
  </sheetViews>
  <sheetFormatPr defaultColWidth="8.83203125" defaultRowHeight="18.5" x14ac:dyDescent="0.55000000000000004"/>
  <cols>
    <col min="1" max="1" width="8.83203125" style="2"/>
    <col min="2" max="2" width="26.33203125" style="2" customWidth="1"/>
    <col min="3" max="3" width="28.9140625" style="5" customWidth="1"/>
    <col min="4" max="4" width="62.4140625" style="25" customWidth="1"/>
    <col min="5" max="16384" width="8.83203125" style="2"/>
  </cols>
  <sheetData>
    <row r="2" spans="2:4" ht="21" x14ac:dyDescent="0.55000000000000004">
      <c r="B2" s="1" t="s">
        <v>2</v>
      </c>
      <c r="C2" s="1" t="s">
        <v>1</v>
      </c>
      <c r="D2" s="26" t="s">
        <v>5</v>
      </c>
    </row>
    <row r="3" spans="2:4" ht="37" x14ac:dyDescent="0.55000000000000004">
      <c r="B3" s="24" t="s">
        <v>13</v>
      </c>
      <c r="C3" s="3"/>
      <c r="D3" s="27" t="s">
        <v>18</v>
      </c>
    </row>
    <row r="4" spans="2:4" ht="37" x14ac:dyDescent="0.55000000000000004">
      <c r="B4" s="24" t="s">
        <v>0</v>
      </c>
      <c r="C4" s="3"/>
      <c r="D4" s="27" t="s">
        <v>19</v>
      </c>
    </row>
    <row r="5" spans="2:4" x14ac:dyDescent="0.55000000000000004">
      <c r="B5" s="21" t="s">
        <v>10</v>
      </c>
      <c r="C5" s="3" t="s">
        <v>3</v>
      </c>
      <c r="D5" s="27"/>
    </row>
    <row r="6" spans="2:4" x14ac:dyDescent="0.55000000000000004">
      <c r="B6" s="21" t="s">
        <v>11</v>
      </c>
      <c r="C6" s="3" t="s">
        <v>4</v>
      </c>
      <c r="D6" s="27"/>
    </row>
    <row r="7" spans="2:4" x14ac:dyDescent="0.55000000000000004">
      <c r="B7" s="20" t="s">
        <v>60</v>
      </c>
      <c r="C7" s="3" t="s">
        <v>61</v>
      </c>
      <c r="D7" s="27"/>
    </row>
    <row r="8" spans="2:4" x14ac:dyDescent="0.55000000000000004">
      <c r="B8" s="23" t="s">
        <v>14</v>
      </c>
      <c r="C8" s="3" t="s">
        <v>62</v>
      </c>
      <c r="D8" s="27" t="s">
        <v>17</v>
      </c>
    </row>
    <row r="9" spans="2:4" x14ac:dyDescent="0.55000000000000004">
      <c r="B9" s="24" t="s">
        <v>63</v>
      </c>
      <c r="C9" s="3">
        <v>20</v>
      </c>
      <c r="D9" s="27"/>
    </row>
    <row r="10" spans="2:4" x14ac:dyDescent="0.55000000000000004">
      <c r="B10" s="24" t="s">
        <v>6</v>
      </c>
      <c r="C10" s="3"/>
      <c r="D10" s="27"/>
    </row>
    <row r="11" spans="2:4" x14ac:dyDescent="0.55000000000000004">
      <c r="B11" s="24" t="s">
        <v>7</v>
      </c>
      <c r="C11" s="3"/>
      <c r="D11" s="27"/>
    </row>
    <row r="12" spans="2:4" x14ac:dyDescent="0.55000000000000004">
      <c r="B12" s="24" t="s">
        <v>8</v>
      </c>
      <c r="C12" s="3"/>
      <c r="D12" s="27" t="s">
        <v>15</v>
      </c>
    </row>
    <row r="13" spans="2:4" x14ac:dyDescent="0.55000000000000004">
      <c r="B13" s="23" t="s">
        <v>9</v>
      </c>
      <c r="C13" s="3">
        <v>1</v>
      </c>
      <c r="D13" s="27" t="s">
        <v>16</v>
      </c>
    </row>
    <row r="14" spans="2:4" ht="74" x14ac:dyDescent="0.55000000000000004">
      <c r="B14" s="24" t="s">
        <v>12</v>
      </c>
      <c r="C14" s="4"/>
      <c r="D14" s="27" t="s">
        <v>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l_pyfemtet">
                <anchor moveWithCells="1" sizeWithCells="1">
                  <from>
                    <xdr:col>2</xdr:col>
                    <xdr:colOff>209550</xdr:colOff>
                    <xdr:row>14</xdr:row>
                    <xdr:rowOff>222250</xdr:rowOff>
                  </from>
                  <to>
                    <xdr:col>2</xdr:col>
                    <xdr:colOff>1835150</xdr:colOff>
                    <xdr:row>18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est_run">
                <anchor moveWithCells="1" sizeWithCells="1">
                  <from>
                    <xdr:col>1</xdr:col>
                    <xdr:colOff>133350</xdr:colOff>
                    <xdr:row>14</xdr:row>
                    <xdr:rowOff>209550</xdr:rowOff>
                  </from>
                  <to>
                    <xdr:col>1</xdr:col>
                    <xdr:colOff>1720850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6A6B9-F279-4F72-9C6D-A48D0840F00C}">
  <sheetPr codeName="Sheet2"/>
  <dimension ref="A1"/>
  <sheetViews>
    <sheetView showGridLines="0" workbookViewId="0">
      <selection activeCell="E7" sqref="E7"/>
    </sheetView>
  </sheetViews>
  <sheetFormatPr defaultRowHeight="18.5" x14ac:dyDescent="0.55000000000000004"/>
  <cols>
    <col min="1" max="16384" width="8.6640625" style="7"/>
  </cols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12</vt:i4>
      </vt:variant>
    </vt:vector>
  </HeadingPairs>
  <TitlesOfParts>
    <vt:vector size="17" baseType="lpstr">
      <vt:lpstr>設計変数</vt:lpstr>
      <vt:lpstr>目的関数</vt:lpstr>
      <vt:lpstr>拘束関数</vt:lpstr>
      <vt:lpstr>最適化の設定</vt:lpstr>
      <vt:lpstr>設計変数（例）</vt:lpstr>
      <vt:lpstr>algorithm</vt:lpstr>
      <vt:lpstr>constraint_sheet_name</vt:lpstr>
      <vt:lpstr>femprj_path</vt:lpstr>
      <vt:lpstr>history_csv_path</vt:lpstr>
      <vt:lpstr>input_sheet_name</vt:lpstr>
      <vt:lpstr>model_name</vt:lpstr>
      <vt:lpstr>n_parallel</vt:lpstr>
      <vt:lpstr>n_trials</vt:lpstr>
      <vt:lpstr>output_sheet_name</vt:lpstr>
      <vt:lpstr>python</vt:lpstr>
      <vt:lpstr>seed</vt:lpstr>
      <vt:lpstr>timeout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Kazuma Naito/内藤　一馬</dc:creator>
  <cp:lastModifiedBy>Kazuma Naito/内藤　一馬</cp:lastModifiedBy>
  <dcterms:created xsi:type="dcterms:W3CDTF">2024-12-06T06:35:48Z</dcterms:created>
  <dcterms:modified xsi:type="dcterms:W3CDTF">2024-12-25T06:37:53Z</dcterms:modified>
</cp:coreProperties>
</file>