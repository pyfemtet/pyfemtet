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E:\DataBase\pyfemtet\pyfemtet\samples\opt\advanced_samples\excel_ui\"/>
    </mc:Choice>
  </mc:AlternateContent>
  <xr:revisionPtr revIDLastSave="0" documentId="13_ncr:1_{70A37CD4-3EC8-4FFF-A725-215984F7EEDE}" xr6:coauthVersionLast="47" xr6:coauthVersionMax="47" xr10:uidLastSave="{00000000-0000-0000-0000-000000000000}"/>
  <bookViews>
    <workbookView xWindow="3384" yWindow="5076" windowWidth="11520" windowHeight="7728" xr2:uid="{FD7BED01-BDD1-4531-A4F6-3F37526DEC5F}"/>
  </bookViews>
  <sheets>
    <sheet name="設計変数" sheetId="2" r:id="rId1"/>
    <sheet name="目的関数" sheetId="3" r:id="rId2"/>
    <sheet name="拘束関数" sheetId="5" r:id="rId3"/>
    <sheet name="最適化の設定" sheetId="4" r:id="rId4"/>
    <sheet name="最適化セットアップシートの書式説明" sheetId="10" r:id="rId5"/>
    <sheet name="備考" sheetId="9" r:id="rId6"/>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3" l="1"/>
  <c r="D78" i="10"/>
  <c r="D79" i="10" a="1"/>
  <c r="D79" i="10"/>
  <c r="D5" i="5"/>
  <c r="D6" i="5" a="1"/>
  <c r="D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tc={BC37021E-BCBF-4679-AB6C-E43AB48EA8DB}</author>
    <author>tc={8D236BA6-8AFA-46AB-A03A-6D79AC937E57}</author>
    <author>tc={BF6D6809-64D7-491A-BEF6-EEFE37D9BFB0}</author>
  </authors>
  <commentList>
    <comment ref="B64" authorId="0" shapeId="0" xr:uid="{BC37021E-BCBF-4679-AB6C-E43AB48EA8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「変数名」セルの左にあるので無視されます。
返信:
セルの値が重要なので、色やフォーマットは自由に指定できます。</t>
      </text>
    </comment>
    <comment ref="I64" authorId="1" shapeId="0" xr:uid="{8D236BA6-8AFA-46AB-A03A-6D79AC937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「変数名」が持つべきカラムのリストに含まれないので無視されます。</t>
      </text>
    </comment>
    <comment ref="D67" authorId="2" shapeId="0" xr:uid="{BF6D6809-64D7-491A-BEF6-EEFE37D9BF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FALSE にすると無視されます。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<sst xmlns="http://schemas.openxmlformats.org/spreadsheetml/2006/main" count="211" uniqueCount="173">
  <si>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</si>
  <si>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</si>
  <si>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</si>
  <si>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</si>
  <si>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</si>
  <si>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</si>
  <si>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</si>
  <si>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</si>
  <si>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</si>
  <si>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</si>
  <si>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</si>
  <si>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</si>
  <si>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</si>
  <si>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</si>
  <si>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</si>
  <si>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</si>
  <si>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</si>
  <si>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</si>
  <si>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</si>
  <si>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</si>
  <si>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</si>
  <si>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</si>
  <si>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</si>
  <si>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</si>
  <si>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</si>
  <si>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</si>
  <si>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</si>
  <si>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</si>
  <si>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</si>
  <si>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</si>
  <si>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</si>
  <si>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</si>
  <si>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</si>
  <si>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</si>
  <si>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</si>
  <si>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</si>
  <si>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</si>
  <si>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</si>
  <si>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</si>
  <si>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</si>
  <si>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</si>
  <si>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</si>
  <si>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</si>
  <si>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</si>
  <si>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</si>
  <si>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</si>
  <si>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</si>
  <si>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</si>
  <si>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</si>
  <si>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</si>
  <si>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</si>
  <si>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</si>
  <si>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</si>
  <si>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</si>
  <si>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</si>
  <si>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</si>
  <si>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</si>
  <si>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</si>
  <si>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</si>
  <si>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</si>
  <si>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</si>
  <si>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</si>
  <si>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</si>
  <si>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</si>
  <si>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</si>
  <si>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</si>
  <si>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</si>
  <si>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</si>
  <si>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</si>
  <si>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</si>
  <si>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メイリオ"/>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</si>
  <si>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</si>
  <si>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</si>
  <si>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</si>
  <si>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</si>
  <si>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</si>
  <si>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</si>
  <si>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</si>
  <si>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</si>
  <si>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</si>
  <si>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</si>
  <si>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</si>
  <si>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</si>
  <si>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</si>
  <si>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</si>
  <si>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</si>
  <si>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</si>
  <si>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</si>
  <si>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</si>
  <si>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</si>
  <si>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</si>
  <si>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</si>
  <si>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</si>
  <si>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</si>
  <si>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</si>
  <si>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</si>
  <si>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</si>
  <si>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</si>
  <si>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</si>
  <si>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</si>
  <si>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</si>
  <si>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</si>
  <si>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</si>
  <si>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</si>
  <si>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</si>
  <si>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</si>
  <si>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PyFemtet 0.8.10 以上をインストールされた Python 環境</t>
    <rPh sb="16" eb="18">
      <t>イジョウ</t>
    </rPh>
    <rPh sb="36" eb="38">
      <t>カンキョウ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</si>
  <si>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</si>
  <si>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</si>
  <si>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</si>
  <si>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</si>
  <si>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</si>
  <si>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</si>
  <si>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</si>
  <si>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</si>
  <si>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</si>
  <si>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</si>
  <si>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</si>
  <si>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</si>
  <si>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</si>
  <si>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</si>
  <si>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</si>
  <si>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</si>
  <si>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</si>
  <si>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</si>
  <si>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</si>
  <si>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</si>
  <si>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</si>
  <si>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</si>
  <si>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</si>
  <si>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</si>
  <si>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</si>
  <si>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</si>
  <si>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</si>
  <si>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</si>
  <si>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</si>
  <si>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</si>
  <si>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</si>
  <si>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</si>
  <si>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</si>
  <si>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</si>
  <si>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</si>
  <si>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</si>
  <si>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</si>
  <si>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</si>
  <si>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</si>
  <si>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</si>
  <si>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</si>
  <si>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</si>
  <si>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</si>
  <si>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</si>
  <si>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</si>
  <si>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</si>
  <si>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</si>
  <si>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</si>
  <si>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</si>
  <si>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</si>
  <si>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</si>
  <si>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</si>
  <si>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</si>
  <si>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</si>
  <si>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例</t>
    <rPh sb="0" eb="1">
      <t>レイ</t>
    </rPh>
    <phoneticPr fontId="1"/>
  </si>
  <si>
    <t>A</t>
    <phoneticPr fontId="1"/>
  </si>
  <si>
    <t>B</t>
    <phoneticPr fontId="1"/>
  </si>
  <si>
    <t>A1</t>
    <phoneticPr fontId="1"/>
  </si>
  <si>
    <t>A2</t>
    <phoneticPr fontId="1"/>
  </si>
  <si>
    <t>B1</t>
    <phoneticPr fontId="1"/>
  </si>
  <si>
    <t>C</t>
    <phoneticPr fontId="1"/>
  </si>
  <si>
    <t>Out1</t>
    <phoneticPr fontId="1"/>
  </si>
  <si>
    <t>Out2</t>
    <phoneticPr fontId="1"/>
  </si>
  <si>
    <t>Cns1</t>
    <phoneticPr fontId="1"/>
  </si>
  <si>
    <t>Cns2</t>
    <phoneticPr fontId="1"/>
  </si>
  <si>
    <t>シートのパース過程は以下の通りです。</t>
    <rPh sb="7" eb="9">
      <t>カテイ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</si>
</sst>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メイリオ"/>
      <family val="2"/>
      <charset val="128"/>
      <scheme val="minor"/>
    </font>
    <font>
      <sz val="6"/>
      <name val="メイリオ"/>
      <family val="2"/>
      <charset val="128"/>
      <scheme val="minor"/>
    </font>
    <font>
      <b/>
      <sz val="13"/>
      <color theme="3"/>
      <name val="メイリオ"/>
      <family val="2"/>
      <charset val="128"/>
      <scheme val="minor"/>
    </font>
    <font>
      <sz val="11"/>
      <color rgb="FF000000"/>
      <name val="Arial Black"/>
      <family val="2"/>
    </font>
    <font>
      <b/>
      <sz val="13"/>
      <name val="メイリオ"/>
      <family val="3"/>
      <charset val="128"/>
      <scheme val="minor"/>
    </font>
    <font>
      <sz val="11"/>
      <name val="メイリオ"/>
      <family val="3"/>
      <charset val="128"/>
      <scheme val="minor"/>
    </font>
    <font>
      <b/>
      <sz val="15"/>
      <color theme="3"/>
      <name val="メイリオ"/>
      <family val="2"/>
      <charset val="128"/>
      <scheme val="minor"/>
    </font>
    <font>
      <sz val="11"/>
      <color rgb="FF9C0006"/>
      <name val="メイリオ"/>
      <family val="2"/>
      <charset val="128"/>
      <scheme val="minor"/>
    </font>
    <font>
      <sz val="11"/>
      <color rgb="FF9C5700"/>
      <name val="メイリオ"/>
      <family val="2"/>
      <charset val="128"/>
      <scheme val="minor"/>
    </font>
    <font>
      <sz val="11"/>
      <color rgb="FF000000"/>
      <name val="ＭＳ Ｐゴシック"/>
      <family val="3"/>
      <charset val="128"/>
    </font>
    <font>
      <b/>
      <sz val="11"/>
      <name val="メイリオ"/>
      <family val="3"/>
      <charset val="128"/>
      <scheme val="minor"/>
    </font>
    <font>
      <sz val="11"/>
      <name val="Consolas"/>
      <family val="3"/>
    </font>
    <font>
      <b/>
      <sz val="11"/>
      <color theme="3"/>
      <name val="メイリオ"/>
      <family val="2"/>
      <charset val="128"/>
      <scheme val="minor"/>
    </font>
    <font>
      <b/>
      <sz val="11"/>
      <color rgb="FF9C5700"/>
      <name val="メイリオ"/>
      <family val="3"/>
      <charset val="128"/>
      <scheme val="minor"/>
    </font>
    <font>
      <b/>
      <sz val="11"/>
      <color rgb="FF9C0006"/>
      <name val="メイリオ"/>
      <family val="3"/>
      <charset val="128"/>
      <scheme val="minor"/>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8">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right/>
      <top/>
      <bottom style="medium">
        <color theme="4" tint="0.39997558519241921"/>
      </bottom>
      <diagonal/>
    </border>
  </borders>
  <cellStyleXfs count="6">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12" fillId="0" borderId="7" applyNumberFormat="0" applyFill="0" applyAlignment="0" applyProtection="0">
      <alignment vertical="center"/>
    </xf>
  </cellStyleXfs>
  <cellXfs count="37">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12" fillId="0" borderId="7" xfId="5">
      <alignment vertical="center"/>
    </xf>
    <xf numFmtId="0" fontId="13" fillId="4" borderId="4" xfId="4" applyFont="1" applyBorder="1" applyAlignment="1">
      <alignment horizontal="center" vertical="center"/>
    </xf>
    <xf numFmtId="0" fontId="14" fillId="3" borderId="4" xfId="3" applyFont="1" applyBorder="1" applyAlignment="1">
      <alignment horizontal="center" vertical="center"/>
    </xf>
    <xf numFmtId="0" fontId="0" fillId="0" borderId="2" xfId="0" applyBorder="1" applyAlignment="1">
      <alignment horizontal="center" vertical="center"/>
    </xf>
  </cellXfs>
  <cellStyles count="6">
    <cellStyle name="どちらでもない" xfId="4" builtinId="28"/>
    <cellStyle name="悪い" xfId="3" builtinId="27"/>
    <cellStyle name="見出し 1" xfId="2" builtinId="16"/>
    <cellStyle name="見出し 2" xfId="1" builtinId="17"/>
    <cellStyle name="見出し 3" xfId="5" builtinId="1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23</xdr:row>
      <xdr:rowOff>177953</xdr:rowOff>
    </xdr:from>
    <xdr:to>
      <xdr:col>14</xdr:col>
      <xdr:colOff>193648</xdr:colOff>
      <xdr:row>38</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Kazuma Naito/内藤　一馬" id="{19FA7C50-F043-47E7-B4E5-603F71AC3BF6}" userId="S::MM11592@murata.com::3e578f2d-4ad2-4f21-9185-8d88187c3593" providerId="AD"/>
</personList>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64" dT="2025-02-19T02:52:04.82" personId="{19FA7C50-F043-47E7-B4E5-603F71AC3BF6}" id="{BC37021E-BCBF-4679-AB6C-E43AB48EA8DB}">
    <text>「変数名」セルの左にあるので無視されます。</text>
  </threadedComment>
  <threadedComment ref="B64" dT="2025-02-19T02:54:56.06" personId="{19FA7C50-F043-47E7-B4E5-603F71AC3BF6}" id="{B6A1E4BB-11CF-4B53-B1B3-91EE613BD52D}" parentId="{BC37021E-BCBF-4679-AB6C-E43AB48EA8DB}">
    <text>セルの値が重要なので、色やフォーマットは自由に指定できます。</text>
  </threadedComment>
  <threadedComment ref="I64" dT="2025-02-19T02:52:34.71" personId="{19FA7C50-F043-47E7-B4E5-603F71AC3BF6}" id="{8D236BA6-8AFA-46AB-A03A-6D79AC937E57}">
    <text>「変数名」が持つべきカラムのリストに含まれないので無視されます。</text>
  </threadedComment>
  <threadedComment ref="D67" dT="2025-02-19T02:53:21.45" personId="{19FA7C50-F043-47E7-B4E5-603F71AC3BF6}" id="{BF6D6809-64D7-491A-BEF6-EEFE37D9BFB0}">
    <text>FALSE にすると無視されます。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0"/>
  <sheetViews>
    <sheetView showGridLines="0" tabSelected="1" workbookViewId="0">
      <selection activeCell="I19" sqref="I19"/>
    </sheetView>
  </sheetViews>
  <sheetFormatPr defaultColWidth="8.7265625" defaultRowHeight="17.399999999999999" x14ac:dyDescent="0.5"/>
  <cols>
    <col min="1" max="2" width="8.7265625" style="6"/>
    <col min="3" max="3" width="15.90625" style="6" customWidth="1"/>
    <col min="4" max="8" width="8.7265625" style="6"/>
    <col min="9" max="9" width="34.7265625" style="8" customWidth="1"/>
    <col min="10" max="16384" width="8.7265625" style="6"/>
  </cols>
  <sheetData>
    <row r="2" spans="1:9" s="5" customFormat="1" ht="25.2" thickBot="1" x14ac:dyDescent="0.55000000000000004">
      <c r="A2" s="7" t="s">
        <v>43</v>
      </c>
      <c r="I2" s="7"/>
    </row>
    <row r="3" spans="1:9" ht="18" thickTop="1" x14ac:dyDescent="0.5"/>
    <row r="4" spans="1:9" x14ac:dyDescent="0.5">
      <c r="B4" s="18" t="s">
        <v>19</v>
      </c>
      <c r="C4" s="20" t="s">
        <v>14</v>
      </c>
      <c r="D4" s="18" t="s">
        <v>18</v>
      </c>
      <c r="E4" s="20" t="s">
        <v>0</v>
      </c>
      <c r="F4" s="20" t="s">
        <v>15</v>
      </c>
      <c r="G4" s="20" t="s">
        <v>16</v>
      </c>
      <c r="H4" s="18" t="s">
        <v>17</v>
      </c>
      <c r="I4" s="18" t="s">
        <v>4</v>
      </c>
    </row>
    <row r="5" spans="1:9" x14ac:dyDescent="0.5">
      <c r="B5" s="36" t="s">
        <v>20</v>
      </c>
      <c r="C5" s="9" t="s">
        <v>21</v>
      </c>
      <c r="D5" s="9" t="b">
        <v>1</v>
      </c>
      <c r="E5" s="9">
        <v>0.5</v>
      </c>
      <c r="F5" s="9">
        <v>0.1</v>
      </c>
      <c r="G5" s="9">
        <v>1</v>
      </c>
      <c r="H5" s="9"/>
      <c r="I5" s="10" t="s">
        <v>29</v>
      </c>
    </row>
    <row r="6" spans="1:9" x14ac:dyDescent="0.5">
      <c r="B6" s="36"/>
      <c r="C6" s="9" t="s">
        <v>24</v>
      </c>
      <c r="D6" s="9" t="b">
        <v>1</v>
      </c>
      <c r="E6" s="9">
        <v>6</v>
      </c>
      <c r="F6" s="9">
        <v>1</v>
      </c>
      <c r="G6" s="9">
        <v>10</v>
      </c>
      <c r="H6" s="9"/>
      <c r="I6" s="10" t="s">
        <v>32</v>
      </c>
    </row>
    <row r="7" spans="1:9" x14ac:dyDescent="0.5">
      <c r="B7" s="36"/>
      <c r="C7" s="9" t="s">
        <v>25</v>
      </c>
      <c r="D7" s="9" t="b">
        <v>1</v>
      </c>
      <c r="E7" s="9">
        <v>2</v>
      </c>
      <c r="F7" s="9">
        <v>1</v>
      </c>
      <c r="G7" s="9">
        <v>3</v>
      </c>
      <c r="H7" s="9"/>
      <c r="I7" s="10" t="s">
        <v>30</v>
      </c>
    </row>
    <row r="8" spans="1:9" x14ac:dyDescent="0.5">
      <c r="B8" s="36"/>
      <c r="C8" s="9" t="s">
        <v>26</v>
      </c>
      <c r="D8" s="9" t="b">
        <v>1</v>
      </c>
      <c r="E8" s="9">
        <v>3</v>
      </c>
      <c r="F8" s="9">
        <v>1</v>
      </c>
      <c r="G8" s="9">
        <v>5</v>
      </c>
      <c r="H8" s="9">
        <v>1</v>
      </c>
      <c r="I8" s="10" t="s">
        <v>31</v>
      </c>
    </row>
    <row r="9" spans="1:9" x14ac:dyDescent="0.5">
      <c r="B9" s="9" t="s">
        <v>28</v>
      </c>
      <c r="C9" s="9" t="s">
        <v>23</v>
      </c>
      <c r="D9" s="9" t="b">
        <v>0</v>
      </c>
      <c r="E9" s="9">
        <v>0</v>
      </c>
      <c r="F9" s="9">
        <v>0</v>
      </c>
      <c r="G9" s="9">
        <v>1</v>
      </c>
      <c r="H9" s="9"/>
      <c r="I9" s="10" t="s">
        <v>33</v>
      </c>
    </row>
    <row r="10" spans="1:9" x14ac:dyDescent="0.5">
      <c r="B10" s="9" t="s">
        <v>22</v>
      </c>
      <c r="C10" s="9" t="s">
        <v>27</v>
      </c>
      <c r="D10" s="9" t="b">
        <v>0</v>
      </c>
      <c r="E10" s="9">
        <v>1</v>
      </c>
      <c r="F10" s="9">
        <v>1E-3</v>
      </c>
      <c r="G10" s="9">
        <v>20</v>
      </c>
      <c r="H10" s="9"/>
      <c r="I10" s="10" t="s">
        <v>58</v>
      </c>
    </row>
  </sheetData>
  <mergeCells count="1">
    <mergeCell ref="B5:B8"/>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election activeCell="C6" sqref="C6"/>
    </sheetView>
  </sheetViews>
  <sheetFormatPr defaultColWidth="12" defaultRowHeight="17.399999999999999" x14ac:dyDescent="0.5"/>
  <cols>
    <col min="1" max="1" width="9.26953125" style="11" customWidth="1"/>
    <col min="2" max="2" width="14.26953125" style="11" customWidth="1"/>
    <col min="3" max="4" width="12" style="11"/>
    <col min="5" max="5" width="46.6328125" style="12" customWidth="1"/>
    <col min="6" max="16384" width="12" style="11"/>
  </cols>
  <sheetData>
    <row r="2" spans="1:5" s="7" customFormat="1" ht="25.2" thickBot="1" x14ac:dyDescent="0.55000000000000004">
      <c r="A2" s="7" t="s">
        <v>42</v>
      </c>
    </row>
    <row r="3" spans="1:5" ht="18" thickTop="1" x14ac:dyDescent="0.5"/>
    <row r="4" spans="1:5" x14ac:dyDescent="0.5">
      <c r="B4" s="21" t="s">
        <v>34</v>
      </c>
      <c r="C4" s="21" t="s">
        <v>35</v>
      </c>
      <c r="D4" s="21" t="s">
        <v>36</v>
      </c>
      <c r="E4" s="17" t="s">
        <v>37</v>
      </c>
    </row>
    <row r="5" spans="1:5" x14ac:dyDescent="0.5">
      <c r="B5" s="13" t="s">
        <v>38</v>
      </c>
      <c r="C5" s="13">
        <v>150.14267517177575</v>
      </c>
      <c r="D5" s="15">
        <v>100</v>
      </c>
      <c r="E5" s="14" t="s">
        <v>39</v>
      </c>
    </row>
    <row r="6" spans="1:5" x14ac:dyDescent="0.5">
      <c r="B6" s="13" t="s">
        <v>105</v>
      </c>
      <c r="C6" s="13">
        <f>3.14 * 設計変数!E6 ^ 2 * (設計変数!E7*設計変数!E8)</f>
        <v>678.24</v>
      </c>
      <c r="D6" s="13" t="s">
        <v>40</v>
      </c>
      <c r="E6" s="14" t="s">
        <v>41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x14ac:dyDescent="0.5"/>
  <cols>
    <col min="2" max="3" width="14.26953125" customWidth="1"/>
    <col min="8" max="8" width="14.453125" customWidth="1"/>
    <col min="9" max="9" width="61.1796875" customWidth="1"/>
  </cols>
  <sheetData>
    <row r="2" spans="1:9" s="7" customFormat="1" ht="25.2" thickBot="1" x14ac:dyDescent="0.55000000000000004">
      <c r="A2" s="7" t="s">
        <v>44</v>
      </c>
    </row>
    <row r="3" spans="1:9" ht="18" thickTop="1" x14ac:dyDescent="0.5"/>
    <row r="4" spans="1:9" x14ac:dyDescent="0.5">
      <c r="B4" s="21" t="s">
        <v>45</v>
      </c>
      <c r="C4" s="17" t="s">
        <v>18</v>
      </c>
      <c r="D4" s="21" t="s">
        <v>35</v>
      </c>
      <c r="E4" s="17" t="s">
        <v>46</v>
      </c>
      <c r="F4" s="17" t="s">
        <v>54</v>
      </c>
      <c r="G4" s="17" t="s">
        <v>55</v>
      </c>
      <c r="H4" s="17" t="s">
        <v>57</v>
      </c>
      <c r="I4" s="17" t="s">
        <v>37</v>
      </c>
    </row>
    <row r="5" spans="1:9" x14ac:dyDescent="0.5">
      <c r="B5" s="13" t="s">
        <v>47</v>
      </c>
      <c r="C5" s="13" t="b">
        <v>1</v>
      </c>
      <c r="D5" s="13">
        <f>設計変数!E7 - 2 *設計変数!E5</f>
        <v>1</v>
      </c>
      <c r="E5" s="15">
        <v>0.1</v>
      </c>
      <c r="F5" s="15"/>
      <c r="G5" s="15"/>
      <c r="H5" s="15"/>
      <c r="I5" s="14" t="s">
        <v>48</v>
      </c>
    </row>
    <row r="6" spans="1:9" x14ac:dyDescent="0.5">
      <c r="B6" s="9" t="s">
        <v>49</v>
      </c>
      <c r="C6" s="9" t="b">
        <v>0</v>
      </c>
      <c r="D6" s="9" cm="1">
        <f t="array" ref="D6">GetCoreRadius()</f>
        <v>0</v>
      </c>
      <c r="E6" s="9">
        <v>1</v>
      </c>
      <c r="F6" s="9"/>
      <c r="G6" s="9"/>
      <c r="H6" s="9"/>
      <c r="I6" s="16" t="s">
        <v>56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70" zoomScaleNormal="70" workbookViewId="0">
      <selection activeCell="B29" sqref="B29"/>
    </sheetView>
  </sheetViews>
  <sheetFormatPr defaultColWidth="8.90625" defaultRowHeight="17.399999999999999" x14ac:dyDescent="0.5"/>
  <cols>
    <col min="1" max="1" width="8.90625" style="2"/>
    <col min="2" max="2" width="26.453125" style="2" customWidth="1"/>
    <col min="3" max="3" width="29" style="4" customWidth="1"/>
    <col min="4" max="4" width="63.7265625" style="24" customWidth="1"/>
    <col min="5" max="16384" width="8.90625" style="2"/>
  </cols>
  <sheetData>
    <row r="2" spans="1:4" s="29" customFormat="1" ht="25.2" thickBot="1" x14ac:dyDescent="0.55000000000000004">
      <c r="A2" s="29" t="s">
        <v>96</v>
      </c>
      <c r="C2" s="30"/>
      <c r="D2" s="31"/>
    </row>
    <row r="3" spans="1:4" ht="18" thickTop="1" x14ac:dyDescent="0.5"/>
    <row r="4" spans="1:4" ht="21" x14ac:dyDescent="0.5">
      <c r="B4" s="1" t="s">
        <v>1</v>
      </c>
      <c r="C4" s="1" t="s">
        <v>0</v>
      </c>
      <c r="D4" s="25" t="s">
        <v>4</v>
      </c>
    </row>
    <row r="5" spans="1:4" ht="69.599999999999994" x14ac:dyDescent="0.5">
      <c r="B5" s="23" t="s">
        <v>59</v>
      </c>
      <c r="C5" s="3"/>
      <c r="D5" s="26" t="s">
        <v>95</v>
      </c>
    </row>
    <row r="6" spans="1:4" x14ac:dyDescent="0.5">
      <c r="B6" s="23" t="s">
        <v>60</v>
      </c>
      <c r="C6" s="3"/>
      <c r="D6" s="26" t="s">
        <v>61</v>
      </c>
    </row>
    <row r="7" spans="1:4" x14ac:dyDescent="0.5">
      <c r="B7" s="20" t="s">
        <v>8</v>
      </c>
      <c r="C7" s="3" t="s">
        <v>2</v>
      </c>
      <c r="D7" s="26" t="s">
        <v>62</v>
      </c>
    </row>
    <row r="8" spans="1:4" x14ac:dyDescent="0.5">
      <c r="B8" s="20" t="s">
        <v>9</v>
      </c>
      <c r="C8" s="3" t="s">
        <v>3</v>
      </c>
      <c r="D8" s="26" t="s">
        <v>63</v>
      </c>
    </row>
    <row r="9" spans="1:4" x14ac:dyDescent="0.5">
      <c r="B9" s="19" t="s">
        <v>50</v>
      </c>
      <c r="C9" s="3" t="s">
        <v>51</v>
      </c>
      <c r="D9" s="26" t="s">
        <v>64</v>
      </c>
    </row>
    <row r="10" spans="1:4" x14ac:dyDescent="0.5">
      <c r="B10" s="22" t="s">
        <v>11</v>
      </c>
      <c r="C10" s="3" t="s">
        <v>52</v>
      </c>
      <c r="D10" s="26" t="s">
        <v>13</v>
      </c>
    </row>
    <row r="11" spans="1:4" x14ac:dyDescent="0.5">
      <c r="B11" s="23" t="s">
        <v>53</v>
      </c>
      <c r="C11" s="3">
        <v>20</v>
      </c>
      <c r="D11" s="26" t="s">
        <v>65</v>
      </c>
    </row>
    <row r="12" spans="1:4" x14ac:dyDescent="0.5">
      <c r="B12" s="23" t="s">
        <v>5</v>
      </c>
      <c r="C12" s="3"/>
      <c r="D12" s="26" t="s">
        <v>66</v>
      </c>
    </row>
    <row r="13" spans="1:4" ht="34.799999999999997" x14ac:dyDescent="0.5">
      <c r="B13" s="23" t="s">
        <v>6</v>
      </c>
      <c r="C13" s="3"/>
      <c r="D13" s="26" t="s">
        <v>67</v>
      </c>
    </row>
    <row r="14" spans="1:4" x14ac:dyDescent="0.5">
      <c r="B14" s="23" t="s">
        <v>68</v>
      </c>
      <c r="C14" s="3"/>
      <c r="D14" s="26" t="s">
        <v>12</v>
      </c>
    </row>
    <row r="15" spans="1:4" ht="52.2" x14ac:dyDescent="0.5">
      <c r="B15" s="22" t="s">
        <v>7</v>
      </c>
      <c r="C15" s="3">
        <v>1</v>
      </c>
      <c r="D15" s="26" t="s">
        <v>69</v>
      </c>
    </row>
    <row r="16" spans="1:4" ht="87" x14ac:dyDescent="0.5">
      <c r="B16" s="23" t="s">
        <v>10</v>
      </c>
      <c r="C16" s="27"/>
      <c r="D16" s="26" t="s">
        <v>70</v>
      </c>
    </row>
    <row r="17" spans="2:4" x14ac:dyDescent="0.5">
      <c r="B17" s="22" t="s">
        <v>71</v>
      </c>
      <c r="C17" s="27" t="s">
        <v>72</v>
      </c>
      <c r="D17" s="26" t="s">
        <v>75</v>
      </c>
    </row>
    <row r="18" spans="2:4" ht="34.799999999999997" x14ac:dyDescent="0.5">
      <c r="B18" s="23" t="s">
        <v>77</v>
      </c>
      <c r="C18" s="27" t="s">
        <v>73</v>
      </c>
      <c r="D18" s="26" t="s">
        <v>76</v>
      </c>
    </row>
    <row r="19" spans="2:4" ht="34.799999999999997" x14ac:dyDescent="0.5">
      <c r="B19" s="23" t="s">
        <v>78</v>
      </c>
      <c r="C19" s="27" t="s">
        <v>74</v>
      </c>
      <c r="D19" s="26" t="s">
        <v>79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I79"/>
  <sheetViews>
    <sheetView showGridLines="0" workbookViewId="0">
      <selection activeCell="K64" sqref="K64"/>
    </sheetView>
  </sheetViews>
  <sheetFormatPr defaultRowHeight="17.399999999999999" outlineLevelRow="2" x14ac:dyDescent="0.5"/>
  <cols>
    <col min="1" max="1" width="8" customWidth="1"/>
  </cols>
  <sheetData>
    <row r="2" spans="2:3" s="28" customFormat="1" ht="25.2" thickBot="1" x14ac:dyDescent="0.55000000000000004">
      <c r="B2" s="28" t="s">
        <v>107</v>
      </c>
    </row>
    <row r="3" spans="2:3" ht="18" thickTop="1" x14ac:dyDescent="0.5"/>
    <row r="4" spans="2:3" x14ac:dyDescent="0.5">
      <c r="C4" t="s">
        <v>172</v>
      </c>
    </row>
    <row r="6" spans="2:3" x14ac:dyDescent="0.5">
      <c r="C6" t="s">
        <v>109</v>
      </c>
    </row>
    <row r="7" spans="2:3" x14ac:dyDescent="0.5">
      <c r="C7" t="s">
        <v>108</v>
      </c>
    </row>
    <row r="8" spans="2:3" x14ac:dyDescent="0.5">
      <c r="C8" t="s">
        <v>110</v>
      </c>
    </row>
    <row r="9" spans="2:3" x14ac:dyDescent="0.5">
      <c r="C9" t="s">
        <v>111</v>
      </c>
    </row>
    <row r="11" spans="2:3" x14ac:dyDescent="0.5">
      <c r="C11" t="s">
        <v>112</v>
      </c>
    </row>
    <row r="13" spans="2:3" x14ac:dyDescent="0.5">
      <c r="C13" t="s">
        <v>113</v>
      </c>
    </row>
    <row r="14" spans="2:3" x14ac:dyDescent="0.5">
      <c r="C14" t="s">
        <v>133</v>
      </c>
    </row>
    <row r="15" spans="2:3" x14ac:dyDescent="0.5">
      <c r="C15" t="s">
        <v>134</v>
      </c>
    </row>
    <row r="18" spans="3:6" s="33" customFormat="1" ht="18" thickBot="1" x14ac:dyDescent="0.55000000000000004">
      <c r="C18" s="33" t="s">
        <v>1</v>
      </c>
      <c r="F18" s="33" t="s">
        <v>160</v>
      </c>
    </row>
    <row r="20" spans="3:6" x14ac:dyDescent="0.5">
      <c r="C20" t="s">
        <v>114</v>
      </c>
    </row>
    <row r="21" spans="3:6" outlineLevel="1" x14ac:dyDescent="0.5">
      <c r="C21" t="s">
        <v>115</v>
      </c>
    </row>
    <row r="22" spans="3:6" outlineLevel="1" x14ac:dyDescent="0.5">
      <c r="C22" t="s">
        <v>123</v>
      </c>
      <c r="F22" t="s">
        <v>136</v>
      </c>
    </row>
    <row r="23" spans="3:6" outlineLevel="1" x14ac:dyDescent="0.5">
      <c r="C23" t="s">
        <v>117</v>
      </c>
      <c r="F23" t="s">
        <v>130</v>
      </c>
    </row>
    <row r="24" spans="3:6" outlineLevel="1" x14ac:dyDescent="0.5">
      <c r="C24" t="s">
        <v>118</v>
      </c>
      <c r="F24" t="s">
        <v>131</v>
      </c>
    </row>
    <row r="25" spans="3:6" outlineLevel="1" x14ac:dyDescent="0.5">
      <c r="C25" t="s">
        <v>119</v>
      </c>
      <c r="F25" t="s">
        <v>132</v>
      </c>
    </row>
    <row r="26" spans="3:6" outlineLevel="1" x14ac:dyDescent="0.5">
      <c r="C26" t="s">
        <v>116</v>
      </c>
    </row>
    <row r="27" spans="3:6" outlineLevel="2" x14ac:dyDescent="0.5">
      <c r="C27" t="s">
        <v>120</v>
      </c>
      <c r="F27" t="s">
        <v>137</v>
      </c>
    </row>
    <row r="28" spans="3:6" outlineLevel="2" x14ac:dyDescent="0.5">
      <c r="F28" t="s">
        <v>138</v>
      </c>
    </row>
    <row r="29" spans="3:6" outlineLevel="2" x14ac:dyDescent="0.5">
      <c r="F29" t="s">
        <v>139</v>
      </c>
    </row>
    <row r="30" spans="3:6" outlineLevel="2" x14ac:dyDescent="0.5">
      <c r="C30" t="s">
        <v>121</v>
      </c>
      <c r="F30" t="s">
        <v>145</v>
      </c>
    </row>
    <row r="32" spans="3:6" x14ac:dyDescent="0.5">
      <c r="C32" t="s">
        <v>122</v>
      </c>
    </row>
    <row r="33" spans="3:6" outlineLevel="1" x14ac:dyDescent="0.5">
      <c r="C33" t="s">
        <v>115</v>
      </c>
    </row>
    <row r="34" spans="3:6" outlineLevel="1" x14ac:dyDescent="0.5">
      <c r="C34" t="s">
        <v>124</v>
      </c>
      <c r="F34" t="s">
        <v>135</v>
      </c>
    </row>
    <row r="35" spans="3:6" outlineLevel="1" x14ac:dyDescent="0.5">
      <c r="C35" t="s">
        <v>117</v>
      </c>
      <c r="F35" t="s">
        <v>141</v>
      </c>
    </row>
    <row r="36" spans="3:6" outlineLevel="1" x14ac:dyDescent="0.5">
      <c r="F36" t="s">
        <v>142</v>
      </c>
    </row>
    <row r="37" spans="3:6" outlineLevel="1" x14ac:dyDescent="0.5">
      <c r="F37" t="s">
        <v>140</v>
      </c>
    </row>
    <row r="38" spans="3:6" outlineLevel="1" x14ac:dyDescent="0.5">
      <c r="C38" t="s">
        <v>125</v>
      </c>
      <c r="F38" t="s">
        <v>143</v>
      </c>
    </row>
    <row r="39" spans="3:6" outlineLevel="1" x14ac:dyDescent="0.5">
      <c r="C39" t="s">
        <v>116</v>
      </c>
    </row>
    <row r="40" spans="3:6" outlineLevel="2" x14ac:dyDescent="0.5">
      <c r="C40" t="s">
        <v>121</v>
      </c>
      <c r="F40" t="s">
        <v>144</v>
      </c>
    </row>
    <row r="42" spans="3:6" x14ac:dyDescent="0.5">
      <c r="C42" t="s">
        <v>126</v>
      </c>
    </row>
    <row r="43" spans="3:6" outlineLevel="1" x14ac:dyDescent="0.5">
      <c r="C43" t="s">
        <v>115</v>
      </c>
    </row>
    <row r="44" spans="3:6" outlineLevel="1" x14ac:dyDescent="0.5">
      <c r="C44" t="s">
        <v>127</v>
      </c>
      <c r="F44" t="s">
        <v>146</v>
      </c>
    </row>
    <row r="45" spans="3:6" outlineLevel="1" x14ac:dyDescent="0.5">
      <c r="C45" t="s">
        <v>117</v>
      </c>
      <c r="F45" t="s">
        <v>147</v>
      </c>
    </row>
    <row r="46" spans="3:6" outlineLevel="1" x14ac:dyDescent="0.5"/>
    <row r="47" spans="3:6" outlineLevel="1" x14ac:dyDescent="0.5">
      <c r="F47" t="s">
        <v>149</v>
      </c>
    </row>
    <row r="48" spans="3:6" outlineLevel="1" x14ac:dyDescent="0.5">
      <c r="F48" t="s">
        <v>148</v>
      </c>
    </row>
    <row r="49" spans="2:9" outlineLevel="1" x14ac:dyDescent="0.5">
      <c r="F49" t="s">
        <v>150</v>
      </c>
    </row>
    <row r="50" spans="2:9" outlineLevel="1" x14ac:dyDescent="0.5">
      <c r="C50" t="s">
        <v>116</v>
      </c>
    </row>
    <row r="51" spans="2:9" outlineLevel="2" x14ac:dyDescent="0.5">
      <c r="C51" t="s">
        <v>118</v>
      </c>
      <c r="F51" t="s">
        <v>151</v>
      </c>
    </row>
    <row r="52" spans="2:9" outlineLevel="2" x14ac:dyDescent="0.5">
      <c r="C52" t="s">
        <v>119</v>
      </c>
      <c r="F52" t="s">
        <v>152</v>
      </c>
    </row>
    <row r="53" spans="2:9" outlineLevel="2" x14ac:dyDescent="0.5">
      <c r="C53" t="s">
        <v>128</v>
      </c>
      <c r="F53" t="s">
        <v>154</v>
      </c>
    </row>
    <row r="54" spans="2:9" outlineLevel="2" x14ac:dyDescent="0.5">
      <c r="F54" t="s">
        <v>155</v>
      </c>
    </row>
    <row r="55" spans="2:9" outlineLevel="2" x14ac:dyDescent="0.5">
      <c r="F55" t="s">
        <v>156</v>
      </c>
    </row>
    <row r="56" spans="2:9" outlineLevel="2" x14ac:dyDescent="0.5">
      <c r="F56" t="s">
        <v>157</v>
      </c>
    </row>
    <row r="57" spans="2:9" outlineLevel="2" x14ac:dyDescent="0.5">
      <c r="F57" t="s">
        <v>153</v>
      </c>
    </row>
    <row r="58" spans="2:9" outlineLevel="2" x14ac:dyDescent="0.5">
      <c r="C58" t="s">
        <v>121</v>
      </c>
      <c r="F58" t="s">
        <v>158</v>
      </c>
    </row>
    <row r="59" spans="2:9" outlineLevel="2" x14ac:dyDescent="0.5">
      <c r="C59" t="s">
        <v>129</v>
      </c>
      <c r="F59" t="s">
        <v>159</v>
      </c>
    </row>
    <row r="62" spans="2:9" s="28" customFormat="1" ht="25.2" thickBot="1" x14ac:dyDescent="0.55000000000000004">
      <c r="B62" s="28" t="s">
        <v>161</v>
      </c>
    </row>
    <row r="63" spans="2:9" ht="18" thickTop="1" x14ac:dyDescent="0.5"/>
    <row r="64" spans="2:9" x14ac:dyDescent="0.5">
      <c r="B64" s="34" t="s">
        <v>19</v>
      </c>
      <c r="C64" s="35" t="s">
        <v>14</v>
      </c>
      <c r="D64" s="34" t="s">
        <v>18</v>
      </c>
      <c r="E64" s="35" t="s">
        <v>0</v>
      </c>
      <c r="F64" s="35" t="s">
        <v>15</v>
      </c>
      <c r="G64" s="35" t="s">
        <v>16</v>
      </c>
      <c r="H64" s="34" t="s">
        <v>17</v>
      </c>
      <c r="I64" s="34" t="s">
        <v>4</v>
      </c>
    </row>
    <row r="65" spans="2:9" x14ac:dyDescent="0.5">
      <c r="B65" s="36" t="s">
        <v>162</v>
      </c>
      <c r="C65" s="32" t="s">
        <v>164</v>
      </c>
      <c r="D65" s="32" t="b">
        <v>1</v>
      </c>
      <c r="E65" s="32">
        <v>0.5</v>
      </c>
      <c r="F65" s="32">
        <v>0.1</v>
      </c>
      <c r="G65" s="32">
        <v>1</v>
      </c>
      <c r="H65" s="32"/>
      <c r="I65" s="10"/>
    </row>
    <row r="66" spans="2:9" x14ac:dyDescent="0.5">
      <c r="B66" s="36"/>
      <c r="C66" s="32" t="s">
        <v>165</v>
      </c>
      <c r="D66" s="32" t="b">
        <v>1</v>
      </c>
      <c r="E66" s="32">
        <v>6</v>
      </c>
      <c r="F66" s="32">
        <v>1</v>
      </c>
      <c r="G66" s="32">
        <v>10</v>
      </c>
      <c r="H66" s="32">
        <v>1</v>
      </c>
      <c r="I66" s="10"/>
    </row>
    <row r="67" spans="2:9" x14ac:dyDescent="0.5">
      <c r="B67" s="32" t="s">
        <v>163</v>
      </c>
      <c r="C67" s="32" t="s">
        <v>166</v>
      </c>
      <c r="D67" s="32" t="b">
        <v>0</v>
      </c>
      <c r="E67" s="32">
        <v>0</v>
      </c>
      <c r="F67" s="32">
        <v>0</v>
      </c>
      <c r="G67" s="32">
        <v>1</v>
      </c>
      <c r="H67" s="32"/>
      <c r="I67" s="10"/>
    </row>
    <row r="68" spans="2:9" x14ac:dyDescent="0.5">
      <c r="B68" s="32" t="s">
        <v>22</v>
      </c>
      <c r="C68" s="32" t="s">
        <v>167</v>
      </c>
      <c r="D68" s="32" t="b">
        <v>0</v>
      </c>
      <c r="E68" s="32">
        <v>1</v>
      </c>
      <c r="F68" s="32">
        <v>1E-3</v>
      </c>
      <c r="G68" s="32">
        <v>20</v>
      </c>
      <c r="H68" s="32"/>
      <c r="I68" s="10"/>
    </row>
    <row r="72" spans="2:9" x14ac:dyDescent="0.5">
      <c r="B72" s="21" t="s">
        <v>34</v>
      </c>
      <c r="C72" s="21" t="s">
        <v>0</v>
      </c>
      <c r="D72" s="21" t="s">
        <v>36</v>
      </c>
      <c r="E72" s="17" t="s">
        <v>4</v>
      </c>
    </row>
    <row r="73" spans="2:9" x14ac:dyDescent="0.5">
      <c r="B73" s="13" t="s">
        <v>168</v>
      </c>
      <c r="C73" s="13">
        <v>1.23</v>
      </c>
      <c r="D73" s="15">
        <v>100</v>
      </c>
      <c r="E73" s="14"/>
    </row>
    <row r="74" spans="2:9" x14ac:dyDescent="0.5">
      <c r="B74" s="13" t="s">
        <v>169</v>
      </c>
      <c r="C74" s="13">
        <v>3.14</v>
      </c>
      <c r="D74" s="13" t="s">
        <v>40</v>
      </c>
      <c r="E74" s="14"/>
    </row>
    <row r="77" spans="2:9" x14ac:dyDescent="0.5">
      <c r="B77" s="21" t="s">
        <v>45</v>
      </c>
      <c r="C77" s="17" t="s">
        <v>18</v>
      </c>
      <c r="D77" s="21" t="s">
        <v>0</v>
      </c>
      <c r="E77" s="17" t="s">
        <v>15</v>
      </c>
      <c r="F77" s="17" t="s">
        <v>16</v>
      </c>
      <c r="G77" s="17" t="s">
        <v>55</v>
      </c>
      <c r="H77" s="17" t="s">
        <v>57</v>
      </c>
      <c r="I77" s="17" t="s">
        <v>4</v>
      </c>
    </row>
    <row r="78" spans="2:9" x14ac:dyDescent="0.5">
      <c r="B78" s="13" t="s">
        <v>170</v>
      </c>
      <c r="C78" s="13" t="b">
        <v>1</v>
      </c>
      <c r="D78" s="13">
        <f>設計変数!E21 - 2 *設計変数!E19</f>
        <v>0</v>
      </c>
      <c r="E78" s="15">
        <v>0.1</v>
      </c>
      <c r="F78" s="15"/>
      <c r="G78" s="15"/>
      <c r="H78" s="15"/>
      <c r="I78" s="14"/>
    </row>
    <row r="79" spans="2:9" x14ac:dyDescent="0.5">
      <c r="B79" s="32" t="s">
        <v>171</v>
      </c>
      <c r="C79" s="32" t="b">
        <v>0</v>
      </c>
      <c r="D79" s="32" cm="1">
        <f t="array" ref="D79">GetCoreRadius()</f>
        <v>0</v>
      </c>
      <c r="E79" s="32">
        <v>1</v>
      </c>
      <c r="F79" s="32"/>
      <c r="G79" s="32"/>
      <c r="H79" s="32"/>
      <c r="I79" s="16"/>
    </row>
  </sheetData>
  <mergeCells count="1">
    <mergeCell ref="B65:B66"/>
  </mergeCells>
  <phoneticPr fontId="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0"/>
  <sheetViews>
    <sheetView showGridLines="0" zoomScaleNormal="100" workbookViewId="0">
      <selection activeCell="D10" sqref="D10"/>
    </sheetView>
  </sheetViews>
  <sheetFormatPr defaultRowHeight="17.399999999999999" x14ac:dyDescent="0.5"/>
  <sheetData>
    <row r="2" spans="2:4" s="28" customFormat="1" ht="25.2" thickBot="1" x14ac:dyDescent="0.55000000000000004">
      <c r="B2" s="28" t="s">
        <v>81</v>
      </c>
    </row>
    <row r="3" spans="2:4" ht="18" thickTop="1" x14ac:dyDescent="0.5"/>
    <row r="4" spans="2:4" x14ac:dyDescent="0.5">
      <c r="C4" t="s">
        <v>84</v>
      </c>
    </row>
    <row r="6" spans="2:4" x14ac:dyDescent="0.5">
      <c r="D6" t="s">
        <v>106</v>
      </c>
    </row>
    <row r="7" spans="2:4" x14ac:dyDescent="0.5">
      <c r="D7" t="s">
        <v>82</v>
      </c>
    </row>
    <row r="8" spans="2:4" x14ac:dyDescent="0.5">
      <c r="D8" t="s">
        <v>83</v>
      </c>
    </row>
    <row r="10" spans="2:4" s="28" customFormat="1" ht="25.2" thickBot="1" x14ac:dyDescent="0.55000000000000004">
      <c r="B10" s="28" t="s">
        <v>80</v>
      </c>
    </row>
    <row r="11" spans="2:4" ht="18" thickTop="1" x14ac:dyDescent="0.5"/>
    <row r="12" spans="2:4" x14ac:dyDescent="0.5">
      <c r="C12" t="s">
        <v>97</v>
      </c>
    </row>
    <row r="13" spans="2:4" x14ac:dyDescent="0.5">
      <c r="C13" t="s">
        <v>85</v>
      </c>
    </row>
    <row r="14" spans="2:4" x14ac:dyDescent="0.5">
      <c r="C14" t="s">
        <v>86</v>
      </c>
    </row>
    <row r="15" spans="2:4" x14ac:dyDescent="0.5">
      <c r="C15" t="s">
        <v>98</v>
      </c>
    </row>
    <row r="16" spans="2:4" x14ac:dyDescent="0.5">
      <c r="C16" t="s">
        <v>87</v>
      </c>
    </row>
    <row r="17" spans="3:3" x14ac:dyDescent="0.5">
      <c r="C17" t="s">
        <v>99</v>
      </c>
    </row>
    <row r="18" spans="3:3" x14ac:dyDescent="0.5">
      <c r="C18" t="s">
        <v>100</v>
      </c>
    </row>
    <row r="19" spans="3:3" x14ac:dyDescent="0.5">
      <c r="C19" t="s">
        <v>101</v>
      </c>
    </row>
    <row r="20" spans="3:3" x14ac:dyDescent="0.5">
      <c r="C20" t="s">
        <v>102</v>
      </c>
    </row>
    <row r="21" spans="3:3" x14ac:dyDescent="0.5">
      <c r="C21" t="s">
        <v>103</v>
      </c>
    </row>
    <row r="22" spans="3:3" x14ac:dyDescent="0.5">
      <c r="C22" t="s">
        <v>104</v>
      </c>
    </row>
    <row r="41" spans="2:3" s="28" customFormat="1" ht="25.2" thickBot="1" x14ac:dyDescent="0.55000000000000004">
      <c r="B41" s="28" t="s">
        <v>90</v>
      </c>
    </row>
    <row r="42" spans="2:3" ht="18" thickTop="1" x14ac:dyDescent="0.5"/>
    <row r="43" spans="2:3" x14ac:dyDescent="0.5">
      <c r="C43" t="s">
        <v>91</v>
      </c>
    </row>
    <row r="45" spans="2:3" x14ac:dyDescent="0.5">
      <c r="C45" t="s">
        <v>88</v>
      </c>
    </row>
    <row r="46" spans="2:3" x14ac:dyDescent="0.5">
      <c r="C46" t="s">
        <v>89</v>
      </c>
    </row>
    <row r="48" spans="2:3" x14ac:dyDescent="0.5">
      <c r="C48" t="s">
        <v>92</v>
      </c>
    </row>
    <row r="49" spans="3:3" x14ac:dyDescent="0.5">
      <c r="C49" t="s">
        <v>93</v>
      </c>
    </row>
    <row r="50" spans="3:3" x14ac:dyDescent="0.5">
      <c r="C50" t="s">
        <v>94</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15</vt:i4>
      </vt:variant>
    </vt:vector>
  </HeadingPairs>
  <TitlesOfParts>
    <vt:vector size="21" baseType="lpstr">
      <vt:lpstr>設計変数</vt:lpstr>
      <vt:lpstr>目的関数</vt:lpstr>
      <vt:lpstr>拘束関数</vt:lpstr>
      <vt:lpstr>最適化の設定</vt:lpstr>
      <vt:lpstr>最適化セットアップシートの書式説明</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2025-12-23T04:34:20Z</dcterms:modified>
</cp:coreProperties>
</file>