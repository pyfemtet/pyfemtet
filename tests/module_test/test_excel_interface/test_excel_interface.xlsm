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E:\pyfemtet\pyfemtet\tests\module_test\test_excel_interface\"/>
    </mc:Choice>
  </mc:AlternateContent>
  <xr:revisionPtr revIDLastSave="0" documentId="13_ncr:1_{2B2DA5A7-BC8C-4BF4-89BA-6164EF7AC062}" xr6:coauthVersionLast="47" xr6:coauthVersionMax="47" xr10:uidLastSave="{00000000-0000-0000-0000-000000000000}"/>
  <bookViews>
    <workbookView xWindow="1464" yWindow="1464" windowWidth="17280" windowHeight="10104" xr2:uid="{FD7BED01-BDD1-4531-A4F6-3F37526DEC5F}"/>
  </bookViews>
  <sheets>
    <sheet name="設計変数" sheetId="2" r:id="rId1"/>
    <sheet name="目的関数" sheetId="3" r:id="rId2"/>
    <sheet name="拘束関数" sheetId="5" r:id="rId3"/>
    <sheet name="最適化の設定" sheetId="4" r:id="rId4"/>
    <sheet name="備考" sheetId="9" r:id="rId5"/>
  </sheets>
  <functionGroups builtInGroupCount="19"/>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5" l="1"/>
  <c r="C6" i="3"/>
  <c r="D6" i="5" a="1"/>
  <c r="D6"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<sst xmlns="http://schemas.openxmlformats.org/spreadsheetml/2006/main" count="103" uniqueCount="100">
  <si>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</si>
  <si>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</si>
  <si>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</si>
  <si>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</si>
  <si>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</si>
  <si>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</si>
  <si>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</si>
  <si>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</si>
  <si>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</si>
  <si>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</si>
  <si>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</si>
  <si>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</si>
  <si>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</si>
  <si>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</si>
  <si>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</si>
  <si>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</si>
  <si>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</si>
  <si>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</si>
  <si>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</si>
  <si>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</si>
  <si>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</si>
  <si>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</si>
  <si>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</si>
  <si>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</si>
  <si>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</si>
  <si>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</si>
  <si>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</si>
  <si>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</si>
  <si>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</si>
  <si>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</si>
  <si>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</si>
  <si>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</si>
  <si>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</si>
  <si>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使用</t>
    <rPh sb="0" eb="2">
      <t>シヨウ</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</si>
  <si>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</si>
  <si>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</si>
  <si>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</si>
  <si>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</si>
  <si>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</si>
  <si>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</si>
  <si>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</si>
  <si>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</si>
  <si>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</si>
  <si>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</si>
  <si>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</si>
  <si>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</si>
  <si>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</si>
  <si>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</si>
  <si>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</si>
  <si>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</si>
  <si>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</si>
  <si>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</si>
  <si>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</si>
  <si>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</si>
  <si>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Meiryo"/>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</si>
  <si>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</si>
  <si>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</si>
  <si>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</si>
  <si>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</si>
  <si>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</si>
  <si>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</si>
  <si>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</si>
  <si>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</si>
  <si>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</si>
  <si>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</si>
  <si>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</si>
  <si>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PyFemtet 0.8 以上をインストールされた Python 環境</t>
    <rPh sb="13" eb="15">
      <t>イジョウ</t>
    </rPh>
    <rPh sb="33" eb="35">
      <t>カンキョウ</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</si>
  <si>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</si>
  <si>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</si>
  <si>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</si>
  <si>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</si>
  <si>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</si>
  <si>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</si>
  <si>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</si>
  <si>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</si>
  <si>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</si>
  <si>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</si>
  <si>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</si>
  <si>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</si>
  <si>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</si>
  <si>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</si>
  <si>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</si>
  <si>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</si>
  <si>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</si>
  <si>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</si>
  <si>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</si>
  <si>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</si>
  <si>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</si>
  <si>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</si>
  <si>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</si>
  <si>
    <t>概算体積</t>
    <rPh sb="0" eb="2">
      <t>ガイサン</t>
    </rPh>
    <rPh sb="2" eb="4">
      <t>タイセキ</t>
    </rPh>
    <phoneticPr fontId="1"/>
  </si>
  <si>
    <t>x</t>
    <phoneticPr fontId="1"/>
  </si>
  <si>
    <t>y</t>
    <phoneticPr fontId="1"/>
  </si>
  <si>
    <t>z</t>
    <phoneticPr fontId="1"/>
  </si>
  <si>
    <t>no_use_1</t>
    <phoneticPr fontId="1"/>
  </si>
  <si>
    <t>no_use_2</t>
    <phoneticPr fontId="1"/>
  </si>
  <si>
    <t>選択肢</t>
    <rPh sb="0" eb="3">
      <t>センタクシ</t>
    </rPh>
    <phoneticPr fontId="1"/>
  </si>
  <si>
    <t>"A", "B", "C"</t>
    <phoneticPr fontId="1"/>
  </si>
  <si>
    <t>※ 選択肢 は "" で囲み , で区切ること。</t>
    <rPh sb="2" eb="5">
      <t>センタクシ</t>
    </rPh>
    <rPh sb="12" eb="13">
      <t>カコ</t>
    </rPh>
    <rPh sb="18" eb="20">
      <t>クギ</t>
    </rPh>
    <phoneticPr fontId="1"/>
  </si>
  <si>
    <t>"A"</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</si>
</sst>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color theme="1"/>
      <name val="Meiryo"/>
      <family val="2"/>
      <charset val="128"/>
      <scheme val="minor"/>
    </font>
    <font>
      <sz val="6"/>
      <name val="Meiryo"/>
      <family val="2"/>
      <charset val="128"/>
      <scheme val="minor"/>
    </font>
    <font>
      <b/>
      <sz val="13"/>
      <color theme="3"/>
      <name val="Meiryo"/>
      <family val="2"/>
      <charset val="128"/>
      <scheme val="minor"/>
    </font>
    <font>
      <sz val="11"/>
      <color rgb="FF000000"/>
      <name val="Arial Black"/>
      <family val="2"/>
    </font>
    <font>
      <b/>
      <sz val="13"/>
      <name val="Meiryo"/>
      <family val="3"/>
      <charset val="128"/>
      <scheme val="minor"/>
    </font>
    <font>
      <sz val="11"/>
      <name val="Meiryo"/>
      <family val="3"/>
      <charset val="128"/>
      <scheme val="minor"/>
    </font>
    <font>
      <b/>
      <sz val="15"/>
      <color theme="3"/>
      <name val="Meiryo"/>
      <family val="2"/>
      <charset val="128"/>
      <scheme val="minor"/>
    </font>
    <font>
      <sz val="11"/>
      <color rgb="FF9C0006"/>
      <name val="Meiryo"/>
      <family val="2"/>
      <charset val="128"/>
      <scheme val="minor"/>
    </font>
    <font>
      <sz val="11"/>
      <color rgb="FF9C5700"/>
      <name val="Meiryo"/>
      <family val="2"/>
      <charset val="128"/>
      <scheme val="minor"/>
    </font>
    <font>
      <sz val="11"/>
      <color rgb="FF000000"/>
      <name val="ＭＳ Ｐゴシック"/>
      <family val="3"/>
      <charset val="128"/>
    </font>
    <font>
      <b/>
      <sz val="11"/>
      <name val="Meiryo"/>
      <family val="3"/>
      <charset val="128"/>
      <scheme val="minor"/>
    </font>
    <font>
      <sz val="11"/>
      <name val="Consolas"/>
      <family val="3"/>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7">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s>
  <cellStyleXfs count="5">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cellStyleXfs>
  <cellXfs count="29">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2" xfId="0" applyBorder="1" applyAlignment="1">
      <alignment horizontal="center"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cellXfs>
  <cellStyles count="5">
    <cellStyle name="どちらでもない" xfId="4" builtinId="28"/>
    <cellStyle name="悪い" xfId="3" builtinId="27"/>
    <cellStyle name="見出し 1" xfId="2" builtinId="16"/>
    <cellStyle name="見出し 2" xfId="1" builtinId="1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213360</xdr:colOff>
          <xdr:row>19</xdr:row>
          <xdr:rowOff>220980</xdr:rowOff>
        </xdr:from>
        <xdr:to>
          <xdr:col>2</xdr:col>
          <xdr:colOff>1836420</xdr:colOff>
          <xdr:row>23</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19</xdr:row>
          <xdr:rowOff>213360</xdr:rowOff>
        </xdr:from>
        <xdr:to>
          <xdr:col>1</xdr:col>
          <xdr:colOff>1722120</xdr:colOff>
          <xdr:row>23</xdr:row>
          <xdr:rowOff>22860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24</xdr:row>
      <xdr:rowOff>177953</xdr:rowOff>
    </xdr:from>
    <xdr:to>
      <xdr:col>14</xdr:col>
      <xdr:colOff>193648</xdr:colOff>
      <xdr:row>39</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純メイリオ">
      <a:majorFont>
        <a:latin typeface="メイリオ"/>
        <a:ea typeface="Meiryo"/>
        <a:cs typeface=""/>
      </a:majorFont>
      <a:minorFont>
        <a:latin typeface="メイリオ"/>
        <a:ea typeface="Meiryo"/>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B2:H9"/>
  <sheetViews>
    <sheetView showGridLines="0" tabSelected="1" workbookViewId="0">
      <selection activeCell="G8" sqref="G8"/>
    </sheetView>
  </sheetViews>
  <sheetFormatPr defaultColWidth="10.36328125" defaultRowHeight="17.399999999999999"/>
  <cols>
    <col min="1" max="16384" width="10.36328125" style="5"/>
  </cols>
  <sheetData>
    <row r="2" spans="2:8">
      <c r="B2" s="19" t="s">
        <v>14</v>
      </c>
      <c r="C2" s="19" t="s">
        <v>18</v>
      </c>
      <c r="D2" s="19" t="s">
        <v>0</v>
      </c>
      <c r="E2" s="19" t="s">
        <v>15</v>
      </c>
      <c r="F2" s="19" t="s">
        <v>16</v>
      </c>
      <c r="G2" s="19" t="s">
        <v>96</v>
      </c>
      <c r="H2" s="19" t="s">
        <v>17</v>
      </c>
    </row>
    <row r="3" spans="2:8">
      <c r="B3" s="28" t="s">
        <v>91</v>
      </c>
      <c r="C3" s="28" t="b">
        <v>1</v>
      </c>
      <c r="D3" s="28">
        <v>0.5</v>
      </c>
      <c r="E3" s="28">
        <v>0</v>
      </c>
      <c r="F3" s="28">
        <v>10</v>
      </c>
      <c r="G3" s="28"/>
      <c r="H3" s="28">
        <v>1</v>
      </c>
    </row>
    <row r="4" spans="2:8">
      <c r="B4" s="28" t="s">
        <v>92</v>
      </c>
      <c r="C4" s="28" t="b">
        <v>1</v>
      </c>
      <c r="D4" s="28">
        <v>6</v>
      </c>
      <c r="E4" s="28">
        <v>1</v>
      </c>
      <c r="F4" s="28">
        <v>10</v>
      </c>
      <c r="G4" s="28"/>
      <c r="H4" s="28"/>
    </row>
    <row r="5" spans="2:8">
      <c r="B5" s="28" t="s">
        <v>93</v>
      </c>
      <c r="C5" s="28" t="b">
        <v>1</v>
      </c>
      <c r="D5" s="28" t="s">
        <v>99</v>
      </c>
      <c r="E5" s="28"/>
      <c r="F5" s="28"/>
      <c r="G5" s="28" t="s">
        <v>97</v>
      </c>
      <c r="H5" s="28"/>
    </row>
    <row r="6" spans="2:8">
      <c r="B6" s="28" t="s">
        <v>94</v>
      </c>
      <c r="C6" s="28" t="b">
        <v>0</v>
      </c>
      <c r="D6" s="28">
        <v>3</v>
      </c>
      <c r="E6" s="28">
        <v>1</v>
      </c>
      <c r="F6" s="28">
        <v>5</v>
      </c>
      <c r="G6" s="28"/>
      <c r="H6" s="28">
        <v>1</v>
      </c>
    </row>
    <row r="7" spans="2:8">
      <c r="B7" s="28" t="s">
        <v>95</v>
      </c>
      <c r="C7" s="28" t="b">
        <v>0</v>
      </c>
      <c r="D7" s="28">
        <v>0.1</v>
      </c>
      <c r="E7" s="28">
        <v>0</v>
      </c>
      <c r="F7" s="28">
        <v>0.5</v>
      </c>
      <c r="G7" s="28"/>
      <c r="H7" s="28">
        <v>0.1</v>
      </c>
    </row>
    <row r="9" spans="2:8">
      <c r="G9" s="5" t="s">
        <v>98</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heetViews>
  <sheetFormatPr defaultColWidth="12" defaultRowHeight="17.399999999999999"/>
  <cols>
    <col min="1" max="1" width="9.1796875" style="8" customWidth="1"/>
    <col min="2" max="2" width="14.1796875" style="8" customWidth="1"/>
    <col min="3" max="4" width="12" style="8"/>
    <col min="5" max="5" width="46.6328125" style="9" customWidth="1"/>
    <col min="6" max="16384" width="12" style="8"/>
  </cols>
  <sheetData>
    <row r="2" spans="1:5" s="6" customFormat="1" ht="25.2" thickBot="1">
      <c r="A2" s="6" t="s">
        <v>27</v>
      </c>
    </row>
    <row r="3" spans="1:5" ht="18" thickTop="1"/>
    <row r="4" spans="1:5">
      <c r="B4" s="17" t="s">
        <v>19</v>
      </c>
      <c r="C4" s="17" t="s">
        <v>20</v>
      </c>
      <c r="D4" s="17" t="s">
        <v>21</v>
      </c>
      <c r="E4" s="14" t="s">
        <v>22</v>
      </c>
    </row>
    <row r="5" spans="1:5">
      <c r="B5" s="10" t="s">
        <v>23</v>
      </c>
      <c r="C5" s="10">
        <v>141.28342101782664</v>
      </c>
      <c r="D5" s="12">
        <v>100</v>
      </c>
      <c r="E5" s="11" t="s">
        <v>24</v>
      </c>
    </row>
    <row r="6" spans="1:5">
      <c r="B6" s="10" t="s">
        <v>90</v>
      </c>
      <c r="C6" s="10" t="e">
        <f>3.14 * (設計変数!D4 + 設計変数!D7*設計変数!D6) ^ 2 * (設計変数!D5*設計変数!D6)</f>
        <v>#VALUE!</v>
      </c>
      <c r="D6" s="10" t="s">
        <v>25</v>
      </c>
      <c r="E6" s="11" t="s">
        <v>26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399999999999999"/>
  <cols>
    <col min="2" max="3" width="14.1796875" customWidth="1"/>
    <col min="8" max="8" width="14.453125" customWidth="1"/>
    <col min="9" max="9" width="61.08984375" customWidth="1"/>
  </cols>
  <sheetData>
    <row r="2" spans="1:9" s="6" customFormat="1" ht="25.2" thickBot="1">
      <c r="A2" s="6" t="s">
        <v>28</v>
      </c>
    </row>
    <row r="3" spans="1:9" ht="18" thickTop="1"/>
    <row r="4" spans="1:9">
      <c r="B4" s="17" t="s">
        <v>29</v>
      </c>
      <c r="C4" s="17" t="s">
        <v>33</v>
      </c>
      <c r="D4" s="17" t="s">
        <v>20</v>
      </c>
      <c r="E4" s="14" t="s">
        <v>30</v>
      </c>
      <c r="F4" s="14" t="s">
        <v>39</v>
      </c>
      <c r="G4" s="14" t="s">
        <v>40</v>
      </c>
      <c r="H4" s="14" t="s">
        <v>42</v>
      </c>
      <c r="I4" s="14" t="s">
        <v>22</v>
      </c>
    </row>
    <row r="5" spans="1:9">
      <c r="B5" s="10" t="s">
        <v>31</v>
      </c>
      <c r="C5" s="10" t="b">
        <v>1</v>
      </c>
      <c r="D5" s="10" t="e">
        <f>設計変数!D5 - 2 *設計変数!D3</f>
        <v>#VALUE!</v>
      </c>
      <c r="E5" s="12">
        <v>0.1</v>
      </c>
      <c r="F5" s="12"/>
      <c r="G5" s="12"/>
      <c r="H5" s="12"/>
      <c r="I5" s="11" t="s">
        <v>32</v>
      </c>
    </row>
    <row r="6" spans="1:9">
      <c r="B6" s="7" t="s">
        <v>34</v>
      </c>
      <c r="C6" s="7" t="b">
        <v>0</v>
      </c>
      <c r="D6" s="7" cm="1">
        <f t="array" ref="D6">GetCoreRadius()</f>
        <v>0</v>
      </c>
      <c r="E6" s="7">
        <v>1</v>
      </c>
      <c r="F6" s="7"/>
      <c r="G6" s="7"/>
      <c r="H6" s="7"/>
      <c r="I6" s="13" t="s">
        <v>41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zoomScale="55" zoomScaleNormal="55" workbookViewId="0"/>
  </sheetViews>
  <sheetFormatPr defaultColWidth="8.90625" defaultRowHeight="17.399999999999999"/>
  <cols>
    <col min="1" max="1" width="8.90625" style="2"/>
    <col min="2" max="2" width="26.453125" style="2" customWidth="1"/>
    <col min="3" max="3" width="29" style="4" customWidth="1"/>
    <col min="4" max="4" width="63.7265625" style="20" customWidth="1"/>
    <col min="5" max="16384" width="8.90625" style="2"/>
  </cols>
  <sheetData>
    <row r="2" spans="1:4" s="25" customFormat="1" ht="25.2" thickBot="1">
      <c r="A2" s="25" t="s">
        <v>81</v>
      </c>
      <c r="C2" s="26"/>
      <c r="D2" s="27"/>
    </row>
    <row r="3" spans="1:4" ht="18" thickTop="1"/>
    <row r="4" spans="1:4" ht="21">
      <c r="B4" s="1" t="s">
        <v>1</v>
      </c>
      <c r="C4" s="1" t="s">
        <v>0</v>
      </c>
      <c r="D4" s="21" t="s">
        <v>4</v>
      </c>
    </row>
    <row r="5" spans="1:4" ht="69.599999999999994">
      <c r="B5" s="19" t="s">
        <v>43</v>
      </c>
      <c r="C5" s="3"/>
      <c r="D5" s="22" t="s">
        <v>80</v>
      </c>
    </row>
    <row r="6" spans="1:4">
      <c r="B6" s="19" t="s">
        <v>44</v>
      </c>
      <c r="C6" s="3"/>
      <c r="D6" s="22" t="s">
        <v>45</v>
      </c>
    </row>
    <row r="7" spans="1:4">
      <c r="B7" s="16" t="s">
        <v>8</v>
      </c>
      <c r="C7" s="3" t="s">
        <v>2</v>
      </c>
      <c r="D7" s="22" t="s">
        <v>46</v>
      </c>
    </row>
    <row r="8" spans="1:4">
      <c r="B8" s="16" t="s">
        <v>9</v>
      </c>
      <c r="C8" s="3" t="s">
        <v>3</v>
      </c>
      <c r="D8" s="22" t="s">
        <v>47</v>
      </c>
    </row>
    <row r="9" spans="1:4">
      <c r="B9" s="15" t="s">
        <v>35</v>
      </c>
      <c r="C9" s="3" t="s">
        <v>36</v>
      </c>
      <c r="D9" s="22" t="s">
        <v>48</v>
      </c>
    </row>
    <row r="10" spans="1:4">
      <c r="B10" s="18" t="s">
        <v>11</v>
      </c>
      <c r="C10" s="3" t="s">
        <v>37</v>
      </c>
      <c r="D10" s="22" t="s">
        <v>13</v>
      </c>
    </row>
    <row r="11" spans="1:4">
      <c r="B11" s="19" t="s">
        <v>38</v>
      </c>
      <c r="C11" s="3">
        <v>20</v>
      </c>
      <c r="D11" s="22" t="s">
        <v>49</v>
      </c>
    </row>
    <row r="12" spans="1:4">
      <c r="B12" s="19" t="s">
        <v>5</v>
      </c>
      <c r="C12" s="3"/>
      <c r="D12" s="22" t="s">
        <v>50</v>
      </c>
    </row>
    <row r="13" spans="1:4" ht="34.799999999999997">
      <c r="B13" s="19" t="s">
        <v>6</v>
      </c>
      <c r="C13" s="3"/>
      <c r="D13" s="22" t="s">
        <v>51</v>
      </c>
    </row>
    <row r="14" spans="1:4">
      <c r="B14" s="19" t="s">
        <v>52</v>
      </c>
      <c r="C14" s="3"/>
      <c r="D14" s="22" t="s">
        <v>12</v>
      </c>
    </row>
    <row r="15" spans="1:4" ht="52.2">
      <c r="B15" s="18" t="s">
        <v>7</v>
      </c>
      <c r="C15" s="3">
        <v>1</v>
      </c>
      <c r="D15" s="22" t="s">
        <v>53</v>
      </c>
    </row>
    <row r="16" spans="1:4" ht="87">
      <c r="B16" s="19" t="s">
        <v>10</v>
      </c>
      <c r="C16" s="23"/>
      <c r="D16" s="22" t="s">
        <v>54</v>
      </c>
    </row>
    <row r="17" spans="2:4">
      <c r="B17" s="18" t="s">
        <v>55</v>
      </c>
      <c r="C17" s="23" t="s">
        <v>56</v>
      </c>
      <c r="D17" s="22" t="s">
        <v>59</v>
      </c>
    </row>
    <row r="18" spans="2:4" ht="34.799999999999997">
      <c r="B18" s="19" t="s">
        <v>61</v>
      </c>
      <c r="C18" s="23" t="s">
        <v>57</v>
      </c>
      <c r="D18" s="22" t="s">
        <v>60</v>
      </c>
    </row>
    <row r="19" spans="2:4" ht="34.799999999999997">
      <c r="B19" s="19" t="s">
        <v>62</v>
      </c>
      <c r="C19" s="23" t="s">
        <v>58</v>
      </c>
      <c r="D19" s="22" t="s">
        <v>63</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213360</xdr:colOff>
                    <xdr:row>19</xdr:row>
                    <xdr:rowOff>220980</xdr:rowOff>
                  </from>
                  <to>
                    <xdr:col>2</xdr:col>
                    <xdr:colOff>1836420</xdr:colOff>
                    <xdr:row>23</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137160</xdr:colOff>
                    <xdr:row>19</xdr:row>
                    <xdr:rowOff>213360</xdr:rowOff>
                  </from>
                  <to>
                    <xdr:col>1</xdr:col>
                    <xdr:colOff>1722120</xdr:colOff>
                    <xdr:row>23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1"/>
  <sheetViews>
    <sheetView showGridLines="0" zoomScaleNormal="100" workbookViewId="0"/>
  </sheetViews>
  <sheetFormatPr defaultRowHeight="17.399999999999999"/>
  <sheetData>
    <row r="2" spans="2:4" s="24" customFormat="1" ht="25.2" thickBot="1">
      <c r="B2" s="24" t="s">
        <v>65</v>
      </c>
    </row>
    <row r="3" spans="2:4" ht="18" thickTop="1"/>
    <row r="4" spans="2:4">
      <c r="C4" t="s">
        <v>69</v>
      </c>
    </row>
    <row r="6" spans="2:4">
      <c r="D6" t="s">
        <v>66</v>
      </c>
    </row>
    <row r="7" spans="2:4">
      <c r="D7" t="s">
        <v>67</v>
      </c>
    </row>
    <row r="8" spans="2:4">
      <c r="D8" t="s">
        <v>68</v>
      </c>
    </row>
    <row r="11" spans="2:4" s="24" customFormat="1" ht="25.2" thickBot="1">
      <c r="B11" s="24" t="s">
        <v>64</v>
      </c>
    </row>
    <row r="12" spans="2:4" ht="18" thickTop="1"/>
    <row r="13" spans="2:4">
      <c r="C13" t="s">
        <v>82</v>
      </c>
    </row>
    <row r="14" spans="2:4">
      <c r="C14" t="s">
        <v>70</v>
      </c>
    </row>
    <row r="15" spans="2:4">
      <c r="C15" t="s">
        <v>71</v>
      </c>
    </row>
    <row r="16" spans="2:4">
      <c r="C16" t="s">
        <v>83</v>
      </c>
    </row>
    <row r="17" spans="3:3">
      <c r="C17" t="s">
        <v>72</v>
      </c>
    </row>
    <row r="18" spans="3:3">
      <c r="C18" t="s">
        <v>84</v>
      </c>
    </row>
    <row r="19" spans="3:3">
      <c r="C19" t="s">
        <v>85</v>
      </c>
    </row>
    <row r="20" spans="3:3">
      <c r="C20" t="s">
        <v>86</v>
      </c>
    </row>
    <row r="21" spans="3:3">
      <c r="C21" t="s">
        <v>87</v>
      </c>
    </row>
    <row r="22" spans="3:3">
      <c r="C22" t="s">
        <v>88</v>
      </c>
    </row>
    <row r="23" spans="3:3">
      <c r="C23" t="s">
        <v>89</v>
      </c>
    </row>
    <row r="42" spans="2:3" s="24" customFormat="1" ht="25.2" thickBot="1">
      <c r="B42" s="24" t="s">
        <v>75</v>
      </c>
    </row>
    <row r="43" spans="2:3" ht="18" thickTop="1"/>
    <row r="44" spans="2:3">
      <c r="C44" t="s">
        <v>76</v>
      </c>
    </row>
    <row r="46" spans="2:3">
      <c r="C46" t="s">
        <v>73</v>
      </c>
    </row>
    <row r="47" spans="2:3">
      <c r="C47" t="s">
        <v>74</v>
      </c>
    </row>
    <row r="49" spans="3:3">
      <c r="C49" t="s">
        <v>77</v>
      </c>
    </row>
    <row r="50" spans="3:3">
      <c r="C50" t="s">
        <v>78</v>
      </c>
    </row>
    <row r="51" spans="3:3">
      <c r="C51" t="s">
        <v>79</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15</vt:i4>
      </vt:variant>
    </vt:vector>
  </HeadingPairs>
  <TitlesOfParts>
    <vt:vector size="20" baseType="lpstr">
      <vt:lpstr>設計変数</vt:lpstr>
      <vt:lpstr>目的関数</vt:lpstr>
      <vt:lpstr>拘束関数</vt:lpstr>
      <vt:lpstr>最適化の設定</vt:lpstr>
      <vt:lpstr>備考</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ZZ_ML_00277@murata.com</cp:lastModifiedBy>
  <dcterms:created xsi:type="dcterms:W3CDTF">2024-12-06T06:35:48Z</dcterms:created>
  <dcterms:modified xsi:type="dcterms:W3CDTF">2025-03-26T06:55:21Z</dcterms:modified>
</cp:coreProperties>
</file>