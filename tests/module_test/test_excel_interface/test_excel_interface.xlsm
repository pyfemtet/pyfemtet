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C:\Users\mm11592\Documents\myFiles2\working\pyfemtet\pyfemtet\tests\module_test\test_excel_interface\"/>
    </mc:Choice>
  </mc:AlternateContent>
  <xr:revisionPtr revIDLastSave="0" documentId="13_ncr:1_{609713EF-2A33-495B-93AD-549350447FD6}" xr6:coauthVersionLast="47" xr6:coauthVersionMax="47" xr10:uidLastSave="{00000000-0000-0000-0000-000000000000}"/>
  <bookViews>
    <workbookView xWindow="2304" yWindow="2592" windowWidth="17280" windowHeight="10008" xr2:uid="{FD7BED01-BDD1-4531-A4F6-3F37526DEC5F}"/>
  </bookViews>
  <sheets>
    <sheet name="設計変数" sheetId="2" r:id="rId1"/>
    <sheet name="目的関数" sheetId="3" r:id="rId2"/>
    <sheet name="拘束関数" sheetId="5" r:id="rId3"/>
    <sheet name="最適化の設定" sheetId="4" r:id="rId4"/>
    <sheet name="備考" sheetId="9" r:id="rId5"/>
  </sheets>
  <definedNames>
    <definedName name="algorithm">最適化の設定!$C$10</definedName>
    <definedName name="constraint_sheet_name">最適化の設定!$C$9</definedName>
    <definedName name="depth">設計変数!#REF!</definedName>
    <definedName name="femprj_path">最適化の設定!$C$5</definedName>
    <definedName name="height">設計変数!#REF!</definedName>
    <definedName name="history_csv_path">最適化の設定!$C$14</definedName>
    <definedName name="input_sheet_name">最適化の設定!$C$7</definedName>
    <definedName name="model_name">最適化の設定!$C$6</definedName>
    <definedName name="n_parallel">最適化の設定!$C$15</definedName>
    <definedName name="n_trials">最適化の設定!$C$11</definedName>
    <definedName name="output_sheet_name">最適化の設定!$C$8</definedName>
    <definedName name="procedure_name">最適化の設定!$C$17</definedName>
    <definedName name="python">最適化の設定!$C$16</definedName>
    <definedName name="seed">最適化の設定!$C$13</definedName>
    <definedName name="setup_procedure_name">最適化の設定!$C$18</definedName>
    <definedName name="teardown_procedure_name">最適化の設定!$C$19</definedName>
    <definedName name="timeout">最適化の設定!$C$12</definedName>
    <definedName name="width">設計変数!#REF!</definedName>
    <definedName name="最小値">目的関数!#REF!</definedName>
    <definedName name="最大値">目的関数!#REF!</definedName>
    <definedName name="任意座標">目的関数!#REF!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 i="5" l="1"/>
  <c r="C6" i="3"/>
  <c r="D6" i="5" a="1"/>
  <c r="D6" i="5"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<sst xmlns="http://schemas.openxmlformats.org/spreadsheetml/2006/main" count="103" uniqueCount="100">
  <si>
    <t>値</t>
    <rPh sb="0" eb="1">
      <t>アタイ</t>
    </rPh>
    <phoneticPr fontId="1"/>
  </si>
  <si>
    <t>項目</t>
    <rPh sb="0" eb="2">
      <t>コウモク</t>
    </rPh>
    <phoneticPr fontId="1"/>
  </si>
  <si>
    <t>設計変数</t>
    <rPh sb="0" eb="2">
      <t>セッケイ</t>
    </rPh>
    <rPh sb="2" eb="4">
      <t>ヘンスウ</t>
    </rPh>
    <phoneticPr fontId="1"/>
  </si>
  <si>
    <t>目的関数</t>
    <rPh sb="0" eb="2">
      <t>モクテキ</t>
    </rPh>
    <rPh sb="2" eb="4">
      <t>カンスウ</t>
    </rPh>
    <phoneticPr fontId="1"/>
  </si>
  <si>
    <t>備考</t>
    <rPh sb="0" eb="2">
      <t>ビコウ</t>
    </rPh>
    <phoneticPr fontId="1"/>
  </si>
  <si>
    <t>時間制限</t>
    <rPh sb="0" eb="2">
      <t>ジカン</t>
    </rPh>
    <rPh sb="2" eb="4">
      <t>セイゲン</t>
    </rPh>
    <phoneticPr fontId="1"/>
  </si>
  <si>
    <t>シード値</t>
    <rPh sb="3" eb="4">
      <t>アタイ</t>
    </rPh>
    <phoneticPr fontId="1"/>
  </si>
  <si>
    <t>並列プロセス数</t>
    <rPh sb="0" eb="2">
      <t>ヘイレツ</t>
    </rPh>
    <rPh sb="6" eb="7">
      <t>スウ</t>
    </rPh>
    <phoneticPr fontId="1"/>
  </si>
  <si>
    <t>設計変数シート名</t>
    <rPh sb="0" eb="2">
      <t>セッケイ</t>
    </rPh>
    <rPh sb="2" eb="4">
      <t>ヘンスウ</t>
    </rPh>
    <rPh sb="7" eb="8">
      <t>メイ</t>
    </rPh>
    <phoneticPr fontId="1"/>
  </si>
  <si>
    <t>目的関数シート名</t>
    <rPh sb="0" eb="2">
      <t>モクテキ</t>
    </rPh>
    <rPh sb="2" eb="4">
      <t>カンスウ</t>
    </rPh>
    <rPh sb="7" eb="8">
      <t>メイ</t>
    </rPh>
    <phoneticPr fontId="1"/>
  </si>
  <si>
    <t>python の実行パス</t>
    <rPh sb="8" eb="10">
      <t>ジッコウ</t>
    </rPh>
    <phoneticPr fontId="1"/>
  </si>
  <si>
    <t>最適化手法</t>
    <rPh sb="0" eb="3">
      <t>サイテキカ</t>
    </rPh>
    <rPh sb="3" eb="5">
      <t>シュホウ</t>
    </rPh>
    <phoneticPr fontId="1"/>
  </si>
  <si>
    <t>指定しない場合は「日付-時間.csv」が生成されます。</t>
    <rPh sb="0" eb="2">
      <t>シテイ</t>
    </rPh>
    <rPh sb="5" eb="7">
      <t>バアイ</t>
    </rPh>
    <rPh sb="9" eb="11">
      <t>ヒヅケ</t>
    </rPh>
    <rPh sb="12" eb="14">
      <t>ジカン</t>
    </rPh>
    <rPh sb="20" eb="22">
      <t>セイセイ</t>
    </rPh>
    <phoneticPr fontId="1"/>
  </si>
  <si>
    <t>Random, QMC, BoTorch, PoFBoTorch, TPE, NSGA2 から選んでください。</t>
    <rPh sb="47" eb="48">
      <t>エラ</t>
    </rPh>
    <phoneticPr fontId="1"/>
  </si>
  <si>
    <t>変数名</t>
    <rPh sb="0" eb="3">
      <t>ヘンスウメイ</t>
    </rPh>
    <phoneticPr fontId="1"/>
  </si>
  <si>
    <t>下限</t>
    <rPh sb="0" eb="2">
      <t>カゲン</t>
    </rPh>
    <phoneticPr fontId="1"/>
  </si>
  <si>
    <t>上限</t>
    <rPh sb="0" eb="2">
      <t>ジョウゲン</t>
    </rPh>
    <phoneticPr fontId="1"/>
  </si>
  <si>
    <t>ステップ</t>
    <phoneticPr fontId="1"/>
  </si>
  <si>
    <t>使用</t>
    <rPh sb="0" eb="2">
      <t>シヨウ</t>
    </rPh>
    <phoneticPr fontId="1"/>
  </si>
  <si>
    <t>目的名</t>
    <rPh sb="0" eb="2">
      <t>モクテキ</t>
    </rPh>
    <rPh sb="2" eb="3">
      <t>メイ</t>
    </rPh>
    <phoneticPr fontId="1"/>
  </si>
  <si>
    <t>値</t>
    <rPh sb="0" eb="1">
      <t>アタイ</t>
    </rPh>
    <phoneticPr fontId="1"/>
  </si>
  <si>
    <t>目標</t>
    <rPh sb="0" eb="2">
      <t>モクヒョウ</t>
    </rPh>
    <phoneticPr fontId="1"/>
  </si>
  <si>
    <t>備考</t>
    <rPh sb="0" eb="2">
      <t>ビコウ</t>
    </rPh>
    <phoneticPr fontId="1"/>
  </si>
  <si>
    <t>インダクタンス</t>
    <phoneticPr fontId="1"/>
  </si>
  <si>
    <t>マクロの出力に 1e+9 を掛けて単位を nH にすること</t>
    <rPh sb="4" eb="6">
      <t>シュツリョク</t>
    </rPh>
    <rPh sb="14" eb="15">
      <t>カ</t>
    </rPh>
    <rPh sb="17" eb="19">
      <t>タンイ</t>
    </rPh>
    <phoneticPr fontId="1"/>
  </si>
  <si>
    <t>minimize</t>
    <phoneticPr fontId="1"/>
  </si>
  <si>
    <t>Excel 数式を使用。単位：mm3</t>
    <rPh sb="6" eb="8">
      <t>スウシキ</t>
    </rPh>
    <rPh sb="9" eb="11">
      <t>シヨウ</t>
    </rPh>
    <rPh sb="12" eb="14">
      <t>タンイ</t>
    </rPh>
    <phoneticPr fontId="1"/>
  </si>
  <si>
    <t>　巻き半径可変コイルの目的関数</t>
    <rPh sb="1" eb="2">
      <t>マ</t>
    </rPh>
    <rPh sb="3" eb="5">
      <t>ハンケイ</t>
    </rPh>
    <rPh sb="5" eb="7">
      <t>カヘン</t>
    </rPh>
    <rPh sb="11" eb="13">
      <t>モクテキ</t>
    </rPh>
    <rPh sb="13" eb="15">
      <t>カンスウ</t>
    </rPh>
    <phoneticPr fontId="1"/>
  </si>
  <si>
    <t>　巻き半径可変コイルの拘束式</t>
    <rPh sb="1" eb="2">
      <t>マ</t>
    </rPh>
    <rPh sb="3" eb="5">
      <t>ハンケイ</t>
    </rPh>
    <rPh sb="5" eb="7">
      <t>カヘン</t>
    </rPh>
    <rPh sb="11" eb="13">
      <t>コウソク</t>
    </rPh>
    <rPh sb="13" eb="14">
      <t>シキ</t>
    </rPh>
    <phoneticPr fontId="1"/>
  </si>
  <si>
    <t>拘束名</t>
    <rPh sb="0" eb="2">
      <t>コウソク</t>
    </rPh>
    <rPh sb="2" eb="3">
      <t>メイ</t>
    </rPh>
    <phoneticPr fontId="1"/>
  </si>
  <si>
    <t>下限</t>
    <rPh sb="0" eb="2">
      <t>カゲン</t>
    </rPh>
    <phoneticPr fontId="1"/>
  </si>
  <si>
    <t>コイル間距離</t>
    <rPh sb="3" eb="4">
      <t>アイダ</t>
    </rPh>
    <rPh sb="4" eb="6">
      <t>キョリ</t>
    </rPh>
    <phoneticPr fontId="1"/>
  </si>
  <si>
    <t>Excel 数式を使用。単位：mm</t>
    <rPh sb="6" eb="8">
      <t>スウシキ</t>
    </rPh>
    <rPh sb="9" eb="11">
      <t>シヨウ</t>
    </rPh>
    <rPh sb="12" eb="14">
      <t>タンイ</t>
    </rPh>
    <phoneticPr fontId="1"/>
  </si>
  <si>
    <t>使用</t>
    <rPh sb="0" eb="2">
      <t>シヨウ</t>
    </rPh>
    <phoneticPr fontId="1"/>
  </si>
  <si>
    <t>コア半径</t>
    <rPh sb="2" eb="4">
      <t>ハンケイ</t>
    </rPh>
    <phoneticPr fontId="1"/>
  </si>
  <si>
    <t>拘束関数シート名</t>
    <rPh sb="0" eb="2">
      <t>コウソク</t>
    </rPh>
    <rPh sb="2" eb="4">
      <t>カンスウ</t>
    </rPh>
    <rPh sb="7" eb="8">
      <t>メイ</t>
    </rPh>
    <phoneticPr fontId="1"/>
  </si>
  <si>
    <t>拘束関数</t>
    <rPh sb="0" eb="2">
      <t>コウソク</t>
    </rPh>
    <rPh sb="2" eb="4">
      <t>カンスウ</t>
    </rPh>
    <phoneticPr fontId="1"/>
  </si>
  <si>
    <t>Random</t>
    <phoneticPr fontId="1"/>
  </si>
  <si>
    <t>試行数</t>
    <rPh sb="0" eb="2">
      <t>シコウ</t>
    </rPh>
    <rPh sb="2" eb="3">
      <t>スウ</t>
    </rPh>
    <phoneticPr fontId="1"/>
  </si>
  <si>
    <t>上限</t>
    <rPh sb="0" eb="2">
      <t>ジョウゲン</t>
    </rPh>
    <phoneticPr fontId="1"/>
  </si>
  <si>
    <t>厳守</t>
    <rPh sb="0" eb="2">
      <t>ゲンシュ</t>
    </rPh>
    <phoneticPr fontId="1"/>
  </si>
  <si>
    <t>モデル破綻時の動作のデモのため「使用」を False にしている。</t>
    <rPh sb="3" eb="5">
      <t>ハタン</t>
    </rPh>
    <rPh sb="5" eb="6">
      <t>ジ</t>
    </rPh>
    <rPh sb="7" eb="9">
      <t>ドウサ</t>
    </rPh>
    <rPh sb="16" eb="18">
      <t>シヨウ</t>
    </rPh>
    <phoneticPr fontId="1"/>
  </si>
  <si>
    <t>ソルブ前に計算</t>
    <rPh sb="3" eb="4">
      <t>マエ</t>
    </rPh>
    <rPh sb="5" eb="7">
      <t>ケイサン</t>
    </rPh>
    <phoneticPr fontId="1"/>
  </si>
  <si>
    <t>プロジェクトファイル名</t>
    <rPh sb="10" eb="11">
      <t>メイ</t>
    </rPh>
    <phoneticPr fontId="1"/>
  </si>
  <si>
    <t>解析モデル名</t>
    <rPh sb="0" eb="2">
      <t>カイセキ</t>
    </rPh>
    <rPh sb="5" eb="6">
      <t>メイ</t>
    </rPh>
    <phoneticPr fontId="1"/>
  </si>
  <si>
    <t>指定された場合、メインマクロ関数に引数として渡されます。</t>
    <rPh sb="0" eb="2">
      <t>シテイ</t>
    </rPh>
    <rPh sb="5" eb="7">
      <t>バアイ</t>
    </rPh>
    <rPh sb="14" eb="16">
      <t>カンスウ</t>
    </rPh>
    <rPh sb="17" eb="19">
      <t>ヒキスウ</t>
    </rPh>
    <rPh sb="22" eb="23">
      <t>ワタ</t>
    </rPh>
    <phoneticPr fontId="1"/>
  </si>
  <si>
    <t>設計変数を記載したシート名です。</t>
    <rPh sb="0" eb="2">
      <t>セッケイ</t>
    </rPh>
    <rPh sb="2" eb="4">
      <t>ヘンスウ</t>
    </rPh>
    <rPh sb="5" eb="7">
      <t>キサイ</t>
    </rPh>
    <rPh sb="12" eb="13">
      <t>メイ</t>
    </rPh>
    <phoneticPr fontId="1"/>
  </si>
  <si>
    <t>目的関数を記載したシート名です。</t>
    <rPh sb="0" eb="2">
      <t>モクテキ</t>
    </rPh>
    <rPh sb="2" eb="4">
      <t>カンスウ</t>
    </rPh>
    <rPh sb="5" eb="7">
      <t>キサイ</t>
    </rPh>
    <rPh sb="12" eb="13">
      <t>メイ</t>
    </rPh>
    <phoneticPr fontId="1"/>
  </si>
  <si>
    <t>拘束関数を記載したシート名です。</t>
    <rPh sb="0" eb="2">
      <t>コウソク</t>
    </rPh>
    <rPh sb="2" eb="4">
      <t>カンスウ</t>
    </rPh>
    <rPh sb="5" eb="7">
      <t>キサイ</t>
    </rPh>
    <rPh sb="12" eb="13">
      <t>メイ</t>
    </rPh>
    <phoneticPr fontId="1"/>
  </si>
  <si>
    <t>解析に成功した数がこの値になるまで最適化を続行します。</t>
    <rPh sb="0" eb="2">
      <t>カイセキ</t>
    </rPh>
    <rPh sb="3" eb="5">
      <t>セイコウ</t>
    </rPh>
    <rPh sb="7" eb="8">
      <t>カズ</t>
    </rPh>
    <rPh sb="11" eb="12">
      <t>アタイ</t>
    </rPh>
    <rPh sb="17" eb="20">
      <t>サイテキカ</t>
    </rPh>
    <rPh sb="21" eb="23">
      <t>ゾッコウ</t>
    </rPh>
    <phoneticPr fontId="1"/>
  </si>
  <si>
    <t>最適化の実行時間がこの値を過ぎるまで最適化を続行します。単位：秒</t>
    <rPh sb="0" eb="3">
      <t>サイテキカ</t>
    </rPh>
    <rPh sb="4" eb="6">
      <t>ジッコウ</t>
    </rPh>
    <rPh sb="6" eb="8">
      <t>ジカン</t>
    </rPh>
    <rPh sb="11" eb="12">
      <t>アタイ</t>
    </rPh>
    <rPh sb="13" eb="14">
      <t>ス</t>
    </rPh>
    <rPh sb="18" eb="21">
      <t>サイテキカ</t>
    </rPh>
    <rPh sb="22" eb="24">
      <t>ゾッコウ</t>
    </rPh>
    <rPh sb="28" eb="30">
      <t>タンイ</t>
    </rPh>
    <rPh sb="31" eb="32">
      <t>ビョウ</t>
    </rPh>
    <phoneticPr fontId="1"/>
  </si>
  <si>
    <t>ランダム性のあるアルゴリズムを用いる場合、そのランダム性を固定します。複数回のプログラム実行で同じ乱数が生成されます。デバッグ用途などに使います。</t>
    <rPh sb="4" eb="5">
      <t>セイ</t>
    </rPh>
    <rPh sb="15" eb="16">
      <t>モチ</t>
    </rPh>
    <rPh sb="18" eb="20">
      <t>バアイ</t>
    </rPh>
    <rPh sb="27" eb="28">
      <t>セイ</t>
    </rPh>
    <rPh sb="29" eb="31">
      <t>コテイ</t>
    </rPh>
    <rPh sb="35" eb="37">
      <t>フクスウ</t>
    </rPh>
    <rPh sb="37" eb="38">
      <t>カイ</t>
    </rPh>
    <rPh sb="44" eb="46">
      <t>ジッコウ</t>
    </rPh>
    <rPh sb="47" eb="48">
      <t>オナ</t>
    </rPh>
    <rPh sb="49" eb="51">
      <t>ランスウ</t>
    </rPh>
    <rPh sb="52" eb="54">
      <t>セイセイ</t>
    </rPh>
    <rPh sb="63" eb="65">
      <t>ヨウト</t>
    </rPh>
    <rPh sb="68" eb="69">
      <t>ツカ</t>
    </rPh>
    <phoneticPr fontId="1"/>
  </si>
  <si>
    <t>最適化結果 csv 名</t>
    <rPh sb="0" eb="3">
      <t>サイテキカ</t>
    </rPh>
    <rPh sb="3" eb="5">
      <t>ケッカ</t>
    </rPh>
    <rPh sb="10" eb="11">
      <t>メイ</t>
    </rPh>
    <phoneticPr fontId="1"/>
  </si>
  <si>
    <t>複数の Femtet を使って最適化のイテレーションを並列化します。Femtet 単体でも並列計算機能があるので、並列プロセス数を増やして最適化が高速化できるかは問題および設定によります。</t>
    <rPh sb="0" eb="2">
      <t>フクスウ</t>
    </rPh>
    <rPh sb="12" eb="13">
      <t>ツカ</t>
    </rPh>
    <rPh sb="15" eb="18">
      <t>サイテキカ</t>
    </rPh>
    <rPh sb="27" eb="30">
      <t>ヘイレツカ</t>
    </rPh>
    <rPh sb="41" eb="43">
      <t>タンタイ</t>
    </rPh>
    <rPh sb="45" eb="47">
      <t>ヘイレツ</t>
    </rPh>
    <rPh sb="47" eb="49">
      <t>ケイサン</t>
    </rPh>
    <rPh sb="49" eb="51">
      <t>キノウ</t>
    </rPh>
    <rPh sb="57" eb="59">
      <t>ヘイレツ</t>
    </rPh>
    <rPh sb="63" eb="64">
      <t>スウ</t>
    </rPh>
    <rPh sb="65" eb="66">
      <t>フ</t>
    </rPh>
    <rPh sb="69" eb="72">
      <t>サイテキカ</t>
    </rPh>
    <rPh sb="73" eb="76">
      <t>コウソクカ</t>
    </rPh>
    <rPh sb="81" eb="83">
      <t>モンダイ</t>
    </rPh>
    <rPh sb="86" eb="88">
      <t>セッテイ</t>
    </rPh>
    <phoneticPr fontId="1"/>
  </si>
  <si>
    <r>
      <t>空欄の場合はインストールされている最新の Python で実行します。
最新でないバージョンの Python を指定する場合は `</t>
    </r>
    <r>
      <rPr>
        <sz val="11"/>
        <rFont val="Consolas"/>
        <family val="3"/>
      </rPr>
      <t>3.11</t>
    </r>
    <r>
      <rPr>
        <sz val="11"/>
        <rFont val="Meiryo"/>
        <family val="3"/>
        <charset val="128"/>
        <scheme val="minor"/>
      </rPr>
      <t>` 等バージョン番号を入力してください。
py launcher を使っていない場合、または仮想環境を使っているときはフルパスを指定してください。</t>
    </r>
    <rPh sb="0" eb="2">
      <t>クウラン</t>
    </rPh>
    <rPh sb="3" eb="5">
      <t>バアイ</t>
    </rPh>
    <rPh sb="17" eb="19">
      <t>サイシン</t>
    </rPh>
    <rPh sb="29" eb="31">
      <t>ジッコウ</t>
    </rPh>
    <rPh sb="36" eb="38">
      <t>サイシン</t>
    </rPh>
    <rPh sb="56" eb="58">
      <t>シテイ</t>
    </rPh>
    <rPh sb="60" eb="62">
      <t>バアイ</t>
    </rPh>
    <rPh sb="71" eb="72">
      <t>ナド</t>
    </rPh>
    <rPh sb="77" eb="79">
      <t>バンゴウ</t>
    </rPh>
    <rPh sb="80" eb="82">
      <t>ニュウリョク</t>
    </rPh>
    <rPh sb="103" eb="104">
      <t>ツカ</t>
    </rPh>
    <rPh sb="109" eb="111">
      <t>バアイ</t>
    </rPh>
    <phoneticPr fontId="1"/>
  </si>
  <si>
    <t>メインマクロ関数名</t>
    <rPh sb="6" eb="8">
      <t>カンスウ</t>
    </rPh>
    <rPh sb="8" eb="9">
      <t>メイ</t>
    </rPh>
    <phoneticPr fontId="1"/>
  </si>
  <si>
    <t>FemtetMacro.FemtetMain</t>
    <phoneticPr fontId="1"/>
  </si>
  <si>
    <t>PrePostProcessing.setup</t>
    <phoneticPr fontId="1"/>
  </si>
  <si>
    <t>PrePostProcessing.teardown</t>
    <phoneticPr fontId="1"/>
  </si>
  <si>
    <t>最適化のループのたびに呼ばれる主要な関数です。</t>
    <rPh sb="0" eb="3">
      <t>サイテキカ</t>
    </rPh>
    <rPh sb="11" eb="12">
      <t>ヨ</t>
    </rPh>
    <rPh sb="15" eb="17">
      <t>シュヨウ</t>
    </rPh>
    <rPh sb="18" eb="20">
      <t>カンスウ</t>
    </rPh>
    <phoneticPr fontId="1"/>
  </si>
  <si>
    <t>最適化ループが始まる前に呼ばれる初期化関数です。指定しない場合、初期化関数が呼ばれません</t>
    <rPh sb="0" eb="3">
      <t>サイテキカ</t>
    </rPh>
    <rPh sb="7" eb="8">
      <t>ハジ</t>
    </rPh>
    <rPh sb="10" eb="11">
      <t>マエ</t>
    </rPh>
    <rPh sb="12" eb="13">
      <t>ヨ</t>
    </rPh>
    <rPh sb="16" eb="19">
      <t>ショキカ</t>
    </rPh>
    <rPh sb="19" eb="21">
      <t>カンスウ</t>
    </rPh>
    <rPh sb="24" eb="26">
      <t>シテイ</t>
    </rPh>
    <rPh sb="29" eb="31">
      <t>バアイ</t>
    </rPh>
    <rPh sb="32" eb="35">
      <t>ショキカ</t>
    </rPh>
    <rPh sb="35" eb="37">
      <t>カンスウ</t>
    </rPh>
    <rPh sb="38" eb="39">
      <t>ヨ</t>
    </rPh>
    <phoneticPr fontId="1"/>
  </si>
  <si>
    <t>初期化関数名</t>
    <rPh sb="0" eb="3">
      <t>ショキカ</t>
    </rPh>
    <rPh sb="3" eb="6">
      <t>カンスウメイ</t>
    </rPh>
    <phoneticPr fontId="1"/>
  </si>
  <si>
    <t>終了関数名</t>
    <rPh sb="0" eb="2">
      <t>シュウリョウ</t>
    </rPh>
    <rPh sb="2" eb="5">
      <t>カンスウメイ</t>
    </rPh>
    <phoneticPr fontId="1"/>
  </si>
  <si>
    <t>最適化ループが終了した後に呼ばれる関数です。指定しない場合、終了関数が呼ばれません。</t>
    <rPh sb="0" eb="3">
      <t>サイテキカ</t>
    </rPh>
    <rPh sb="7" eb="9">
      <t>シュウリョウ</t>
    </rPh>
    <rPh sb="11" eb="12">
      <t>アト</t>
    </rPh>
    <rPh sb="13" eb="14">
      <t>ヨ</t>
    </rPh>
    <rPh sb="17" eb="19">
      <t>カンスウ</t>
    </rPh>
    <rPh sb="22" eb="24">
      <t>シテイ</t>
    </rPh>
    <rPh sb="27" eb="29">
      <t>バアイ</t>
    </rPh>
    <rPh sb="30" eb="32">
      <t>シュウリョウ</t>
    </rPh>
    <rPh sb="32" eb="34">
      <t>カンスウ</t>
    </rPh>
    <rPh sb="35" eb="36">
      <t>ヨ</t>
    </rPh>
    <phoneticPr fontId="1"/>
  </si>
  <si>
    <t>仕組み</t>
    <rPh sb="0" eb="2">
      <t>シク</t>
    </rPh>
    <phoneticPr fontId="1"/>
  </si>
  <si>
    <t>前提条件</t>
    <rPh sb="0" eb="2">
      <t>ゼンテイ</t>
    </rPh>
    <rPh sb="2" eb="4">
      <t>ジョウケン</t>
    </rPh>
    <phoneticPr fontId="1"/>
  </si>
  <si>
    <t>PyFemtet 0.8 以上をインストールされた Python 環境</t>
    <rPh sb="13" eb="15">
      <t>イジョウ</t>
    </rPh>
    <rPh sb="33" eb="35">
      <t>カンキョウ</t>
    </rPh>
    <phoneticPr fontId="1"/>
  </si>
  <si>
    <t>Excel</t>
    <phoneticPr fontId="1"/>
  </si>
  <si>
    <t>Femtet</t>
    <phoneticPr fontId="1"/>
  </si>
  <si>
    <t>以下のソフトがインストールされた環境で実行できます。</t>
    <rPh sb="0" eb="2">
      <t>イカ</t>
    </rPh>
    <rPh sb="16" eb="18">
      <t>カンキョウ</t>
    </rPh>
    <rPh sb="19" eb="21">
      <t>ジッコウ</t>
    </rPh>
    <phoneticPr fontId="1"/>
  </si>
  <si>
    <t>最初にこのファイルを一時フォルダにコピーして動作するので、</t>
    <rPh sb="0" eb="2">
      <t>サイショ</t>
    </rPh>
    <rPh sb="10" eb="12">
      <t>イチジ</t>
    </rPh>
    <rPh sb="22" eb="24">
      <t>ドウサ</t>
    </rPh>
    <phoneticPr fontId="1"/>
  </si>
  <si>
    <t>最適化の実行中にも Excel 作業を行うことができます。</t>
    <rPh sb="0" eb="3">
      <t>サイテキカ</t>
    </rPh>
    <rPh sb="4" eb="7">
      <t>ジッコウチュウ</t>
    </rPh>
    <rPh sb="16" eb="18">
      <t>サギョウ</t>
    </rPh>
    <rPh sb="19" eb="20">
      <t>オコナ</t>
    </rPh>
    <phoneticPr fontId="1"/>
  </si>
  <si>
    <t>一切変更する必要がありません。</t>
  </si>
  <si>
    <t>Femtet の「マクロ出力機能」を用いてモジュールファイル（ .bas ファイル）を生成し、</t>
    <rPh sb="12" eb="14">
      <t>シュツリョク</t>
    </rPh>
    <rPh sb="14" eb="16">
      <t>キノウ</t>
    </rPh>
    <rPh sb="18" eb="19">
      <t>モチ</t>
    </rPh>
    <rPh sb="43" eb="45">
      <t>セイセイ</t>
    </rPh>
    <phoneticPr fontId="1"/>
  </si>
  <si>
    <t>この Excel ファイルに取り込みます。</t>
    <rPh sb="14" eb="15">
      <t>ト</t>
    </rPh>
    <rPh sb="16" eb="17">
      <t>コ</t>
    </rPh>
    <phoneticPr fontId="1"/>
  </si>
  <si>
    <t>お使いの Femtet プロジェクトをこのファイルに適用する場合</t>
    <rPh sb="1" eb="2">
      <t>ツカ</t>
    </rPh>
    <rPh sb="26" eb="28">
      <t>テキヨウ</t>
    </rPh>
    <rPh sb="30" eb="32">
      <t>バアイ</t>
    </rPh>
    <phoneticPr fontId="1"/>
  </si>
  <si>
    <t>このファイルに含まれる FemtetMacro モジュールの名前を適当に変更します。</t>
    <rPh sb="7" eb="8">
      <t>フク</t>
    </rPh>
    <rPh sb="30" eb="32">
      <t>ナマエ</t>
    </rPh>
    <rPh sb="33" eb="35">
      <t>テキトウ</t>
    </rPh>
    <rPh sb="36" eb="38">
      <t>ヘンコウ</t>
    </rPh>
    <phoneticPr fontId="1"/>
  </si>
  <si>
    <t>元々の FemtetMacro モジュールを参考に、取り込んだモジュールを変更してください。</t>
    <rPh sb="0" eb="2">
      <t>モトモト</t>
    </rPh>
    <rPh sb="22" eb="24">
      <t>サンコウ</t>
    </rPh>
    <rPh sb="26" eb="27">
      <t>ト</t>
    </rPh>
    <rPh sb="28" eb="29">
      <t>コ</t>
    </rPh>
    <rPh sb="37" eb="39">
      <t>ヘンコウ</t>
    </rPh>
    <phoneticPr fontId="1"/>
  </si>
  <si>
    <t>変更のポイントは、元々のモジュールに「Note:」に続く文章で記載しています。</t>
    <rPh sb="0" eb="2">
      <t>ヘンコウ</t>
    </rPh>
    <rPh sb="9" eb="11">
      <t>モトモト</t>
    </rPh>
    <rPh sb="26" eb="27">
      <t>ツヅ</t>
    </rPh>
    <rPh sb="28" eb="30">
      <t>ブンショウ</t>
    </rPh>
    <rPh sb="31" eb="33">
      <t>キサイ</t>
    </rPh>
    <phoneticPr fontId="1"/>
  </si>
  <si>
    <t>VBE 画面で Ctrl+F で「Note:」を検索し、参考にしてください。</t>
    <rPh sb="4" eb="6">
      <t>ガメン</t>
    </rPh>
    <rPh sb="24" eb="26">
      <t>ケンサク</t>
    </rPh>
    <rPh sb="28" eb="30">
      <t>サンコウ</t>
    </rPh>
    <phoneticPr fontId="1"/>
  </si>
  <si>
    <t>指定された場合、メインマクロ関数に引数として渡されます。拡張子 .femprj を含んでも構いませんが、メインマクロ関数に渡されるまでに拡張子は削除されます。
なお、処理するプロジェクトファイルは、この Excel ファイルと同じフォルダに保存するようにしてください。</t>
    <rPh sb="0" eb="2">
      <t>シテイ</t>
    </rPh>
    <rPh sb="5" eb="7">
      <t>バアイ</t>
    </rPh>
    <rPh sb="14" eb="16">
      <t>カンスウ</t>
    </rPh>
    <rPh sb="17" eb="19">
      <t>ヒキスウ</t>
    </rPh>
    <rPh sb="22" eb="23">
      <t>ワタ</t>
    </rPh>
    <rPh sb="28" eb="31">
      <t>カクチョウシ</t>
    </rPh>
    <rPh sb="41" eb="42">
      <t>フク</t>
    </rPh>
    <rPh sb="45" eb="46">
      <t>カマ</t>
    </rPh>
    <rPh sb="58" eb="60">
      <t>カンスウ</t>
    </rPh>
    <rPh sb="61" eb="62">
      <t>ワタ</t>
    </rPh>
    <rPh sb="68" eb="71">
      <t>カクチョウシ</t>
    </rPh>
    <rPh sb="72" eb="74">
      <t>サクジョ</t>
    </rPh>
    <rPh sb="83" eb="85">
      <t>ショリ</t>
    </rPh>
    <rPh sb="113" eb="114">
      <t>オナ</t>
    </rPh>
    <rPh sb="120" eb="122">
      <t>ホゾン</t>
    </rPh>
    <phoneticPr fontId="1"/>
  </si>
  <si>
    <t>　実行設定</t>
    <rPh sb="1" eb="3">
      <t>ジッコウ</t>
    </rPh>
    <rPh sb="3" eb="5">
      <t>セッテイ</t>
    </rPh>
    <phoneticPr fontId="1"/>
  </si>
  <si>
    <t>　このサンプルでは、以下の仕組みで最適化を行います。</t>
    <rPh sb="10" eb="12">
      <t>イカ</t>
    </rPh>
    <rPh sb="13" eb="15">
      <t>シク</t>
    </rPh>
    <rPh sb="17" eb="20">
      <t>サイテキカ</t>
    </rPh>
    <rPh sb="21" eb="22">
      <t>オコナ</t>
    </rPh>
    <phoneticPr fontId="1"/>
  </si>
  <si>
    <t>　また、最適化の過程で意図しない動作をしたとしても元ファイルは</t>
    <rPh sb="4" eb="7">
      <t>サイテキカ</t>
    </rPh>
    <rPh sb="8" eb="10">
      <t>カテイ</t>
    </rPh>
    <rPh sb="11" eb="13">
      <t>イト</t>
    </rPh>
    <rPh sb="16" eb="18">
      <t>ドウサ</t>
    </rPh>
    <rPh sb="25" eb="26">
      <t>モト</t>
    </rPh>
    <phoneticPr fontId="1"/>
  </si>
  <si>
    <t>　この Excel ファイルに含まれるメインマクロ関数は同梱する</t>
    <rPh sb="15" eb="16">
      <t>フク</t>
    </rPh>
    <rPh sb="25" eb="27">
      <t>カンスウ</t>
    </rPh>
    <rPh sb="28" eb="30">
      <t>ドウコン</t>
    </rPh>
    <phoneticPr fontId="1"/>
  </si>
  <si>
    <t>（参考）元プロジェクト.femprj からマクロ出力機能を用いて</t>
    <rPh sb="1" eb="3">
      <t>サンコウ</t>
    </rPh>
    <rPh sb="4" eb="5">
      <t>モト</t>
    </rPh>
    <rPh sb="24" eb="26">
      <t>シュツリョク</t>
    </rPh>
    <rPh sb="26" eb="28">
      <t>キノウ</t>
    </rPh>
    <rPh sb="29" eb="30">
      <t>モチ</t>
    </rPh>
    <phoneticPr fontId="1"/>
  </si>
  <si>
    <t>出力し、この Excel ファイルに適合するよう編集したものです。</t>
    <rPh sb="0" eb="2">
      <t>シュツリョク</t>
    </rPh>
    <rPh sb="18" eb="20">
      <t>テキゴウ</t>
    </rPh>
    <rPh sb="24" eb="26">
      <t>ヘンシュウ</t>
    </rPh>
    <phoneticPr fontId="1"/>
  </si>
  <si>
    <t>　このマクロは元プロジェクトを一切読み込まず、実行すれば</t>
    <rPh sb="7" eb="8">
      <t>モト</t>
    </rPh>
    <rPh sb="15" eb="17">
      <t>イッサイ</t>
    </rPh>
    <rPh sb="17" eb="18">
      <t>ヨ</t>
    </rPh>
    <rPh sb="19" eb="20">
      <t>コ</t>
    </rPh>
    <rPh sb="23" eb="25">
      <t>ジッコウ</t>
    </rPh>
    <phoneticPr fontId="1"/>
  </si>
  <si>
    <t>元プロジェクトと同じ条件のプロジェクトを作るものなので、</t>
    <rPh sb="0" eb="1">
      <t>モト</t>
    </rPh>
    <rPh sb="8" eb="9">
      <t>オナ</t>
    </rPh>
    <rPh sb="10" eb="12">
      <t>ジョウケン</t>
    </rPh>
    <rPh sb="20" eb="21">
      <t>ツク</t>
    </rPh>
    <phoneticPr fontId="1"/>
  </si>
  <si>
    <t>femprj ファイルがなくとも最適化は動作します。</t>
    <rPh sb="16" eb="19">
      <t>サイテキカ</t>
    </rPh>
    <rPh sb="20" eb="22">
      <t>ドウサ</t>
    </rPh>
    <phoneticPr fontId="1"/>
  </si>
  <si>
    <t>概算体積</t>
    <rPh sb="0" eb="2">
      <t>ガイサン</t>
    </rPh>
    <rPh sb="2" eb="4">
      <t>タイセキ</t>
    </rPh>
    <phoneticPr fontId="1"/>
  </si>
  <si>
    <t>x</t>
    <phoneticPr fontId="1"/>
  </si>
  <si>
    <t>y</t>
    <phoneticPr fontId="1"/>
  </si>
  <si>
    <t>z</t>
    <phoneticPr fontId="1"/>
  </si>
  <si>
    <t>no_use_1</t>
    <phoneticPr fontId="1"/>
  </si>
  <si>
    <t>no_use_2</t>
    <phoneticPr fontId="1"/>
  </si>
  <si>
    <t>選択肢</t>
    <rPh sb="0" eb="3">
      <t>センタクシ</t>
    </rPh>
    <phoneticPr fontId="1"/>
  </si>
  <si>
    <t>A</t>
    <phoneticPr fontId="1"/>
  </si>
  <si>
    <t>"A", "B", "C",</t>
    <phoneticPr fontId="1"/>
  </si>
  <si>
    <t>※ 選択肢 は "" で囲み , で区切ること。末尾に , が入ってもよい。</t>
    <rPh sb="2" eb="5">
      <t>センタクシ</t>
    </rPh>
    <rPh sb="12" eb="13">
      <t>カコ</t>
    </rPh>
    <rPh sb="18" eb="20">
      <t>クギ</t>
    </rPh>
    <rPh sb="24" eb="26">
      <t>マツビ</t>
    </rPh>
    <rPh sb="31" eb="32">
      <t>ハイ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</si>
</sst>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font>
      <sz val="11"/>
      <color theme="1"/>
      <name val="Meiryo"/>
      <family val="2"/>
      <charset val="128"/>
      <scheme val="minor"/>
    </font>
    <font>
      <sz val="6"/>
      <name val="Meiryo"/>
      <family val="2"/>
      <charset val="128"/>
      <scheme val="minor"/>
    </font>
    <font>
      <b/>
      <sz val="13"/>
      <color theme="3"/>
      <name val="Meiryo"/>
      <family val="2"/>
      <charset val="128"/>
      <scheme val="minor"/>
    </font>
    <font>
      <sz val="11"/>
      <color rgb="FF000000"/>
      <name val="Arial Black"/>
      <family val="2"/>
    </font>
    <font>
      <b/>
      <sz val="13"/>
      <name val="Meiryo"/>
      <family val="3"/>
      <charset val="128"/>
      <scheme val="minor"/>
    </font>
    <font>
      <sz val="11"/>
      <name val="Meiryo"/>
      <family val="3"/>
      <charset val="128"/>
      <scheme val="minor"/>
    </font>
    <font>
      <b/>
      <sz val="15"/>
      <color theme="3"/>
      <name val="Meiryo"/>
      <family val="2"/>
      <charset val="128"/>
      <scheme val="minor"/>
    </font>
    <font>
      <sz val="11"/>
      <color rgb="FF9C0006"/>
      <name val="Meiryo"/>
      <family val="2"/>
      <charset val="128"/>
      <scheme val="minor"/>
    </font>
    <font>
      <sz val="11"/>
      <color rgb="FF9C5700"/>
      <name val="Meiryo"/>
      <family val="2"/>
      <charset val="128"/>
      <scheme val="minor"/>
    </font>
    <font>
      <sz val="11"/>
      <color rgb="FF000000"/>
      <name val="ＭＳ Ｐゴシック"/>
      <family val="3"/>
      <charset val="128"/>
    </font>
    <font>
      <b/>
      <sz val="11"/>
      <name val="Meiryo"/>
      <family val="3"/>
      <charset val="128"/>
      <scheme val="minor"/>
    </font>
    <font>
      <sz val="11"/>
      <name val="Consolas"/>
      <family val="3"/>
    </font>
  </fonts>
  <fills count="5">
    <fill>
      <patternFill patternType="none"/>
    </fill>
    <fill>
      <patternFill patternType="gray125"/>
    </fill>
    <fill>
      <patternFill patternType="solid">
        <fgColor theme="0"/>
        <bgColor indexed="64"/>
      </patternFill>
    </fill>
    <fill>
      <patternFill patternType="solid">
        <fgColor rgb="FFFFC7CE"/>
      </patternFill>
    </fill>
    <fill>
      <patternFill patternType="solid">
        <fgColor rgb="FFFFEB9C"/>
      </patternFill>
    </fill>
  </fills>
  <borders count="7">
    <border>
      <left/>
      <right/>
      <top/>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diagonal/>
    </border>
  </borders>
  <cellStyleXfs count="5">
    <xf numFmtId="0" fontId="0" fillId="0" borderId="0">
      <alignment vertical="center"/>
    </xf>
    <xf numFmtId="0" fontId="2" fillId="0" borderId="1" applyNumberFormat="0" applyFill="0" applyAlignment="0" applyProtection="0">
      <alignment vertical="center"/>
    </xf>
    <xf numFmtId="0" fontId="6" fillId="0" borderId="3" applyNumberFormat="0" applyFill="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cellStyleXfs>
  <cellXfs count="30">
    <xf numFmtId="0" fontId="0" fillId="0" borderId="0" xfId="0">
      <alignment vertical="center"/>
    </xf>
    <xf numFmtId="0" fontId="4" fillId="2" borderId="0" xfId="1" applyFont="1" applyFill="1" applyBorder="1" applyAlignment="1">
      <alignment horizontal="center" vertical="center"/>
    </xf>
    <xf numFmtId="0" fontId="5" fillId="2" borderId="0" xfId="0" applyFont="1" applyFill="1">
      <alignment vertical="center"/>
    </xf>
    <xf numFmtId="0" fontId="5" fillId="2" borderId="2" xfId="0" applyFont="1" applyFill="1" applyBorder="1" applyAlignment="1">
      <alignment horizontal="center" vertical="center"/>
    </xf>
    <xf numFmtId="0" fontId="5" fillId="2" borderId="0" xfId="0" applyFont="1" applyFill="1" applyAlignment="1">
      <alignment horizontal="center" vertical="center"/>
    </xf>
    <xf numFmtId="0" fontId="0" fillId="0" borderId="0" xfId="0" applyAlignment="1">
      <alignment horizontal="center" vertical="center"/>
    </xf>
    <xf numFmtId="0" fontId="6" fillId="0" borderId="3" xfId="2" applyAlignment="1">
      <alignment horizontal="left" vertical="center"/>
    </xf>
    <xf numFmtId="0" fontId="0" fillId="0" borderId="2" xfId="0" applyBorder="1" applyAlignment="1">
      <alignment horizontal="center" vertical="center"/>
    </xf>
    <xf numFmtId="0" fontId="5" fillId="0" borderId="0" xfId="0" applyFont="1" applyFill="1" applyAlignment="1">
      <alignment horizontal="center" vertical="center"/>
    </xf>
    <xf numFmtId="0" fontId="5" fillId="0" borderId="0" xfId="0" applyFont="1" applyFill="1" applyAlignment="1">
      <alignment horizontal="left" vertical="center"/>
    </xf>
    <xf numFmtId="0" fontId="5" fillId="0" borderId="2" xfId="0" applyFont="1" applyFill="1" applyBorder="1" applyAlignment="1">
      <alignment horizontal="center" vertical="center"/>
    </xf>
    <xf numFmtId="0" fontId="5" fillId="0" borderId="2" xfId="0" applyFont="1" applyFill="1" applyBorder="1" applyAlignment="1">
      <alignment horizontal="left" vertical="center"/>
    </xf>
    <xf numFmtId="0" fontId="5" fillId="0" borderId="2" xfId="0" applyNumberFormat="1" applyFont="1" applyFill="1" applyBorder="1" applyAlignment="1">
      <alignment horizontal="center" vertical="center"/>
    </xf>
    <xf numFmtId="0" fontId="0" fillId="0" borderId="2" xfId="0" applyBorder="1">
      <alignment vertical="center"/>
    </xf>
    <xf numFmtId="0" fontId="8" fillId="4" borderId="6" xfId="4" applyBorder="1" applyAlignment="1">
      <alignment horizontal="center" vertical="center"/>
    </xf>
    <xf numFmtId="0" fontId="8" fillId="4" borderId="5" xfId="4" applyBorder="1" applyAlignment="1">
      <alignment horizontal="center" vertical="center"/>
    </xf>
    <xf numFmtId="0" fontId="7" fillId="3" borderId="4" xfId="3" applyBorder="1" applyAlignment="1">
      <alignment horizontal="center" vertical="center"/>
    </xf>
    <xf numFmtId="0" fontId="7" fillId="3" borderId="6" xfId="3" applyBorder="1" applyAlignment="1">
      <alignment horizontal="center" vertical="center"/>
    </xf>
    <xf numFmtId="0" fontId="7" fillId="3" borderId="2" xfId="3" applyBorder="1" applyAlignment="1">
      <alignment horizontal="center" vertical="center"/>
    </xf>
    <xf numFmtId="0" fontId="8" fillId="4" borderId="2" xfId="4" applyBorder="1" applyAlignment="1">
      <alignment horizontal="center" vertical="center"/>
    </xf>
    <xf numFmtId="0" fontId="5" fillId="2" borderId="0" xfId="0" applyFont="1" applyFill="1" applyAlignment="1">
      <alignment vertical="center" wrapText="1"/>
    </xf>
    <xf numFmtId="0" fontId="10" fillId="2" borderId="0" xfId="0" applyFont="1" applyFill="1" applyAlignment="1">
      <alignment horizontal="center" vertical="center" wrapText="1"/>
    </xf>
    <xf numFmtId="0" fontId="5" fillId="2" borderId="2" xfId="0" applyFont="1" applyFill="1" applyBorder="1" applyAlignment="1">
      <alignment vertical="center" wrapText="1"/>
    </xf>
    <xf numFmtId="0" fontId="5" fillId="2" borderId="2" xfId="0" applyFont="1" applyFill="1" applyBorder="1" applyAlignment="1">
      <alignment horizontal="center" vertical="center" wrapText="1"/>
    </xf>
    <xf numFmtId="0" fontId="6" fillId="0" borderId="3" xfId="2">
      <alignment vertical="center"/>
    </xf>
    <xf numFmtId="0" fontId="6" fillId="2" borderId="3" xfId="2" applyFill="1">
      <alignment vertical="center"/>
    </xf>
    <xf numFmtId="0" fontId="6" fillId="2" borderId="3" xfId="2" applyFill="1" applyAlignment="1">
      <alignment horizontal="center" vertical="center"/>
    </xf>
    <xf numFmtId="0" fontId="6" fillId="2" borderId="3" xfId="2" applyFill="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center" vertical="center"/>
    </xf>
  </cellXfs>
  <cellStyles count="5">
    <cellStyle name="どちらでもない" xfId="4" builtinId="28"/>
    <cellStyle name="悪い" xfId="3" builtinId="27"/>
    <cellStyle name="見出し 1" xfId="2" builtinId="16"/>
    <cellStyle name="見出し 2" xfId="1" builtinId="17"/>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213360</xdr:colOff>
          <xdr:row>19</xdr:row>
          <xdr:rowOff>220980</xdr:rowOff>
        </xdr:from>
        <xdr:to>
          <xdr:col>2</xdr:col>
          <xdr:colOff>1836420</xdr:colOff>
          <xdr:row>23</xdr:row>
          <xdr:rowOff>30480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call</a:t>
              </a:r>
              <a:r>
                <a:rPr lang="ja-JP" altLang="en-US" sz="1100" b="0" i="0" u="none" strike="noStrike" baseline="0">
                  <a:solidFill>
                    <a:srgbClr val="000000"/>
                  </a:solidFill>
                  <a:latin typeface="Arial Black"/>
                  <a:ea typeface="ＭＳ Ｐゴシック"/>
                </a:rPr>
                <a:t> pyfemtet</a:t>
              </a:r>
              <a:endParaRPr lang="ja-JP" altLang="en-US" sz="1100" b="0" i="0" u="none" strike="noStrike" baseline="0">
                <a:solidFill>
                  <a:srgbClr val="000000"/>
                </a:solidFill>
                <a:latin typeface="Arial Black"/>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137160</xdr:colOff>
          <xdr:row>19</xdr:row>
          <xdr:rowOff>213360</xdr:rowOff>
        </xdr:from>
        <xdr:to>
          <xdr:col>1</xdr:col>
          <xdr:colOff>1722120</xdr:colOff>
          <xdr:row>23</xdr:row>
          <xdr:rowOff>22860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メインマクロ関数をテスト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657410</xdr:colOff>
      <xdr:row>24</xdr:row>
      <xdr:rowOff>177953</xdr:rowOff>
    </xdr:from>
    <xdr:to>
      <xdr:col>14</xdr:col>
      <xdr:colOff>193648</xdr:colOff>
      <xdr:row>39</xdr:row>
      <xdr:rowOff>34028</xdr:rowOff>
    </xdr:to>
    <xdr:pic>
      <xdr:nvPicPr>
        <xdr:cNvPr id="19" name="図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1"/>
        <a:stretch>
          <a:fillRect/>
        </a:stretch>
      </xdr:blipFill>
      <xdr:spPr>
        <a:xfrm>
          <a:off x="657410" y="4182188"/>
          <a:ext cx="10936356" cy="3217840"/>
        </a:xfrm>
        <a:prstGeom prst="rect">
          <a:avLst/>
        </a:prstGeom>
      </xdr:spPr>
    </xdr:pic>
    <xdr:clientData/>
  </xdr:twoCellAnchor>
</xdr:wsDr>
</file>

<file path=xl/theme/theme1.xml><?xml version="1.0" encoding="utf-8"?>
<a:theme xmlns:a="http://schemas.openxmlformats.org/drawingml/2006/main" name="Office テーマ">
  <a:themeElements>
    <a:clrScheme name="ユーザー定義 1">
      <a:dk1>
        <a:sysClr val="windowText" lastClr="000000"/>
      </a:dk1>
      <a:lt1>
        <a:sysClr val="window" lastClr="FFFFFF"/>
      </a:lt1>
      <a:dk2>
        <a:srgbClr val="000000"/>
      </a:dk2>
      <a:lt2>
        <a:srgbClr val="F5002F"/>
      </a:lt2>
      <a:accent1>
        <a:srgbClr val="F5002F"/>
      </a:accent1>
      <a:accent2>
        <a:srgbClr val="C7BBA5"/>
      </a:accent2>
      <a:accent3>
        <a:srgbClr val="00AFDB"/>
      </a:accent3>
      <a:accent4>
        <a:srgbClr val="FFC20F"/>
      </a:accent4>
      <a:accent5>
        <a:srgbClr val="91FF66"/>
      </a:accent5>
      <a:accent6>
        <a:srgbClr val="6B3077"/>
      </a:accent6>
      <a:hlink>
        <a:srgbClr val="5C6770"/>
      </a:hlink>
      <a:folHlink>
        <a:srgbClr val="BEC2C6"/>
      </a:folHlink>
    </a:clrScheme>
    <a:fontScheme name="純メイリオ">
      <a:majorFont>
        <a:latin typeface="メイリオ"/>
        <a:ea typeface="Meiryo"/>
        <a:cs typeface=""/>
      </a:majorFont>
      <a:minorFont>
        <a:latin typeface="メイリオ"/>
        <a:ea typeface="Meiryo"/>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55C79-E82B-478B-B104-BB0349DC4166}">
  <sheetPr codeName="shInput"/>
  <dimension ref="B2:H9"/>
  <sheetViews>
    <sheetView showGridLines="0" tabSelected="1" workbookViewId="0">
      <selection activeCell="G10" sqref="G10"/>
    </sheetView>
  </sheetViews>
  <sheetFormatPr defaultColWidth="10.36328125" defaultRowHeight="17.399999999999999"/>
  <cols>
    <col min="1" max="6" width="10.36328125" style="5"/>
    <col min="7" max="7" width="11.54296875" style="5" customWidth="1"/>
    <col min="8" max="16384" width="10.36328125" style="5"/>
  </cols>
  <sheetData>
    <row r="2" spans="2:8">
      <c r="B2" s="19" t="s">
        <v>14</v>
      </c>
      <c r="C2" s="19" t="s">
        <v>18</v>
      </c>
      <c r="D2" s="19" t="s">
        <v>0</v>
      </c>
      <c r="E2" s="19" t="s">
        <v>15</v>
      </c>
      <c r="F2" s="19" t="s">
        <v>16</v>
      </c>
      <c r="G2" s="19" t="s">
        <v>96</v>
      </c>
      <c r="H2" s="19" t="s">
        <v>17</v>
      </c>
    </row>
    <row r="3" spans="2:8">
      <c r="B3" s="28" t="s">
        <v>91</v>
      </c>
      <c r="C3" s="28" t="b">
        <v>1</v>
      </c>
      <c r="D3" s="28">
        <v>0.5</v>
      </c>
      <c r="E3" s="28">
        <v>0</v>
      </c>
      <c r="F3" s="28">
        <v>10</v>
      </c>
      <c r="G3" s="28"/>
      <c r="H3" s="28">
        <v>1</v>
      </c>
    </row>
    <row r="4" spans="2:8">
      <c r="B4" s="28" t="s">
        <v>92</v>
      </c>
      <c r="C4" s="28" t="b">
        <v>1</v>
      </c>
      <c r="D4" s="28">
        <v>6</v>
      </c>
      <c r="E4" s="28">
        <v>1</v>
      </c>
      <c r="F4" s="28">
        <v>10</v>
      </c>
      <c r="G4" s="28"/>
      <c r="H4" s="28"/>
    </row>
    <row r="5" spans="2:8">
      <c r="B5" s="28" t="s">
        <v>93</v>
      </c>
      <c r="C5" s="28" t="b">
        <v>1</v>
      </c>
      <c r="D5" s="28" t="s">
        <v>97</v>
      </c>
      <c r="E5" s="28"/>
      <c r="F5" s="28"/>
      <c r="G5" s="29" t="s">
        <v>98</v>
      </c>
      <c r="H5" s="28"/>
    </row>
    <row r="6" spans="2:8">
      <c r="B6" s="28" t="s">
        <v>94</v>
      </c>
      <c r="C6" s="28" t="b">
        <v>0</v>
      </c>
      <c r="D6" s="28">
        <v>3</v>
      </c>
      <c r="E6" s="28">
        <v>1</v>
      </c>
      <c r="F6" s="28">
        <v>5</v>
      </c>
      <c r="G6" s="28"/>
      <c r="H6" s="28">
        <v>1</v>
      </c>
    </row>
    <row r="7" spans="2:8">
      <c r="B7" s="28" t="s">
        <v>95</v>
      </c>
      <c r="C7" s="28" t="b">
        <v>0</v>
      </c>
      <c r="D7" s="28">
        <v>0.1</v>
      </c>
      <c r="E7" s="28">
        <v>0</v>
      </c>
      <c r="F7" s="28">
        <v>0.5</v>
      </c>
      <c r="G7" s="28"/>
      <c r="H7" s="28">
        <v>0.1</v>
      </c>
    </row>
    <row r="9" spans="2:8">
      <c r="G9" s="5" t="s">
        <v>99</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FE301-92E0-49B2-B840-21493D2FFAA0}">
  <sheetPr codeName="shOutput"/>
  <dimension ref="A2:E6"/>
  <sheetViews>
    <sheetView showGridLines="0" workbookViewId="0"/>
  </sheetViews>
  <sheetFormatPr defaultColWidth="12" defaultRowHeight="17.399999999999999"/>
  <cols>
    <col min="1" max="1" width="9.1796875" style="8" customWidth="1"/>
    <col min="2" max="2" width="14.1796875" style="8" customWidth="1"/>
    <col min="3" max="4" width="12" style="8"/>
    <col min="5" max="5" width="46.6328125" style="9" customWidth="1"/>
    <col min="6" max="16384" width="12" style="8"/>
  </cols>
  <sheetData>
    <row r="2" spans="1:5" s="6" customFormat="1" ht="25.2" thickBot="1">
      <c r="A2" s="6" t="s">
        <v>27</v>
      </c>
    </row>
    <row r="3" spans="1:5" ht="18" thickTop="1"/>
    <row r="4" spans="1:5">
      <c r="B4" s="17" t="s">
        <v>19</v>
      </c>
      <c r="C4" s="17" t="s">
        <v>20</v>
      </c>
      <c r="D4" s="17" t="s">
        <v>21</v>
      </c>
      <c r="E4" s="14" t="s">
        <v>22</v>
      </c>
    </row>
    <row r="5" spans="1:5">
      <c r="B5" s="10" t="s">
        <v>23</v>
      </c>
      <c r="C5" s="10">
        <v>141.28342101782664</v>
      </c>
      <c r="D5" s="12">
        <v>100</v>
      </c>
      <c r="E5" s="11" t="s">
        <v>24</v>
      </c>
    </row>
    <row r="6" spans="1:5">
      <c r="B6" s="10" t="s">
        <v>90</v>
      </c>
      <c r="C6" s="10" t="e">
        <f>3.14 * (設計変数!D4 + 設計変数!D7*設計変数!D6) ^ 2 * (設計変数!D5*設計変数!D6)</f>
        <v>#VALUE!</v>
      </c>
      <c r="D6" s="10" t="s">
        <v>25</v>
      </c>
      <c r="E6" s="11" t="s">
        <v>26</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75C68-B4C2-400E-BFFE-38299C8FBEA5}">
  <sheetPr codeName="shConstraint"/>
  <dimension ref="A2:I6"/>
  <sheetViews>
    <sheetView showGridLines="0" zoomScaleNormal="100" workbookViewId="0"/>
  </sheetViews>
  <sheetFormatPr defaultRowHeight="17.399999999999999"/>
  <cols>
    <col min="2" max="3" width="14.1796875" customWidth="1"/>
    <col min="8" max="8" width="14.453125" customWidth="1"/>
    <col min="9" max="9" width="61.08984375" customWidth="1"/>
  </cols>
  <sheetData>
    <row r="2" spans="1:9" s="6" customFormat="1" ht="25.2" thickBot="1">
      <c r="A2" s="6" t="s">
        <v>28</v>
      </c>
    </row>
    <row r="3" spans="1:9" ht="18" thickTop="1"/>
    <row r="4" spans="1:9">
      <c r="B4" s="17" t="s">
        <v>29</v>
      </c>
      <c r="C4" s="17" t="s">
        <v>33</v>
      </c>
      <c r="D4" s="17" t="s">
        <v>20</v>
      </c>
      <c r="E4" s="14" t="s">
        <v>30</v>
      </c>
      <c r="F4" s="14" t="s">
        <v>39</v>
      </c>
      <c r="G4" s="14" t="s">
        <v>40</v>
      </c>
      <c r="H4" s="14" t="s">
        <v>42</v>
      </c>
      <c r="I4" s="14" t="s">
        <v>22</v>
      </c>
    </row>
    <row r="5" spans="1:9">
      <c r="B5" s="10" t="s">
        <v>31</v>
      </c>
      <c r="C5" s="10" t="b">
        <v>1</v>
      </c>
      <c r="D5" s="10" t="e">
        <f>設計変数!D5 - 2 *設計変数!D3</f>
        <v>#VALUE!</v>
      </c>
      <c r="E5" s="12">
        <v>0.1</v>
      </c>
      <c r="F5" s="12"/>
      <c r="G5" s="12"/>
      <c r="H5" s="12"/>
      <c r="I5" s="11" t="s">
        <v>32</v>
      </c>
    </row>
    <row r="6" spans="1:9">
      <c r="B6" s="7" t="s">
        <v>34</v>
      </c>
      <c r="C6" s="7" t="b">
        <v>0</v>
      </c>
      <c r="D6" s="7" cm="1">
        <f t="array" ref="D6">GetCoreRadius()</f>
        <v>0</v>
      </c>
      <c r="E6" s="7">
        <v>1</v>
      </c>
      <c r="F6" s="7"/>
      <c r="G6" s="7"/>
      <c r="H6" s="7"/>
      <c r="I6" s="13" t="s">
        <v>41</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6784C-3AB2-40AB-A27D-B2FFC4F9DEF4}">
  <sheetPr codeName="shConfig"/>
  <dimension ref="A2:D19"/>
  <sheetViews>
    <sheetView zoomScale="55" zoomScaleNormal="55" workbookViewId="0"/>
  </sheetViews>
  <sheetFormatPr defaultColWidth="8.90625" defaultRowHeight="17.399999999999999"/>
  <cols>
    <col min="1" max="1" width="8.90625" style="2"/>
    <col min="2" max="2" width="26.453125" style="2" customWidth="1"/>
    <col min="3" max="3" width="29" style="4" customWidth="1"/>
    <col min="4" max="4" width="63.7265625" style="20" customWidth="1"/>
    <col min="5" max="16384" width="8.90625" style="2"/>
  </cols>
  <sheetData>
    <row r="2" spans="1:4" s="25" customFormat="1" ht="25.2" thickBot="1">
      <c r="A2" s="25" t="s">
        <v>81</v>
      </c>
      <c r="C2" s="26"/>
      <c r="D2" s="27"/>
    </row>
    <row r="3" spans="1:4" ht="18" thickTop="1"/>
    <row r="4" spans="1:4" ht="21">
      <c r="B4" s="1" t="s">
        <v>1</v>
      </c>
      <c r="C4" s="1" t="s">
        <v>0</v>
      </c>
      <c r="D4" s="21" t="s">
        <v>4</v>
      </c>
    </row>
    <row r="5" spans="1:4" ht="69.599999999999994">
      <c r="B5" s="19" t="s">
        <v>43</v>
      </c>
      <c r="C5" s="3"/>
      <c r="D5" s="22" t="s">
        <v>80</v>
      </c>
    </row>
    <row r="6" spans="1:4">
      <c r="B6" s="19" t="s">
        <v>44</v>
      </c>
      <c r="C6" s="3"/>
      <c r="D6" s="22" t="s">
        <v>45</v>
      </c>
    </row>
    <row r="7" spans="1:4">
      <c r="B7" s="16" t="s">
        <v>8</v>
      </c>
      <c r="C7" s="3" t="s">
        <v>2</v>
      </c>
      <c r="D7" s="22" t="s">
        <v>46</v>
      </c>
    </row>
    <row r="8" spans="1:4">
      <c r="B8" s="16" t="s">
        <v>9</v>
      </c>
      <c r="C8" s="3" t="s">
        <v>3</v>
      </c>
      <c r="D8" s="22" t="s">
        <v>47</v>
      </c>
    </row>
    <row r="9" spans="1:4">
      <c r="B9" s="15" t="s">
        <v>35</v>
      </c>
      <c r="C9" s="3" t="s">
        <v>36</v>
      </c>
      <c r="D9" s="22" t="s">
        <v>48</v>
      </c>
    </row>
    <row r="10" spans="1:4">
      <c r="B10" s="18" t="s">
        <v>11</v>
      </c>
      <c r="C10" s="3" t="s">
        <v>37</v>
      </c>
      <c r="D10" s="22" t="s">
        <v>13</v>
      </c>
    </row>
    <row r="11" spans="1:4">
      <c r="B11" s="19" t="s">
        <v>38</v>
      </c>
      <c r="C11" s="3">
        <v>20</v>
      </c>
      <c r="D11" s="22" t="s">
        <v>49</v>
      </c>
    </row>
    <row r="12" spans="1:4">
      <c r="B12" s="19" t="s">
        <v>5</v>
      </c>
      <c r="C12" s="3"/>
      <c r="D12" s="22" t="s">
        <v>50</v>
      </c>
    </row>
    <row r="13" spans="1:4" ht="34.799999999999997">
      <c r="B13" s="19" t="s">
        <v>6</v>
      </c>
      <c r="C13" s="3"/>
      <c r="D13" s="22" t="s">
        <v>51</v>
      </c>
    </row>
    <row r="14" spans="1:4">
      <c r="B14" s="19" t="s">
        <v>52</v>
      </c>
      <c r="C14" s="3"/>
      <c r="D14" s="22" t="s">
        <v>12</v>
      </c>
    </row>
    <row r="15" spans="1:4" ht="52.2">
      <c r="B15" s="18" t="s">
        <v>7</v>
      </c>
      <c r="C15" s="3">
        <v>1</v>
      </c>
      <c r="D15" s="22" t="s">
        <v>53</v>
      </c>
    </row>
    <row r="16" spans="1:4" ht="87">
      <c r="B16" s="19" t="s">
        <v>10</v>
      </c>
      <c r="C16" s="23"/>
      <c r="D16" s="22" t="s">
        <v>54</v>
      </c>
    </row>
    <row r="17" spans="2:4">
      <c r="B17" s="18" t="s">
        <v>55</v>
      </c>
      <c r="C17" s="23" t="s">
        <v>56</v>
      </c>
      <c r="D17" s="22" t="s">
        <v>59</v>
      </c>
    </row>
    <row r="18" spans="2:4" ht="34.799999999999997">
      <c r="B18" s="19" t="s">
        <v>61</v>
      </c>
      <c r="C18" s="23" t="s">
        <v>57</v>
      </c>
      <c r="D18" s="22" t="s">
        <v>60</v>
      </c>
    </row>
    <row r="19" spans="2:4" ht="34.799999999999997">
      <c r="B19" s="19" t="s">
        <v>62</v>
      </c>
      <c r="C19" s="23" t="s">
        <v>58</v>
      </c>
      <c r="D19" s="22" t="s">
        <v>63</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all_pyfemtet">
                <anchor moveWithCells="1" sizeWithCells="1">
                  <from>
                    <xdr:col>2</xdr:col>
                    <xdr:colOff>213360</xdr:colOff>
                    <xdr:row>19</xdr:row>
                    <xdr:rowOff>220980</xdr:rowOff>
                  </from>
                  <to>
                    <xdr:col>2</xdr:col>
                    <xdr:colOff>1836420</xdr:colOff>
                    <xdr:row>23</xdr:row>
                    <xdr:rowOff>30480</xdr:rowOff>
                  </to>
                </anchor>
              </controlPr>
            </control>
          </mc:Choice>
        </mc:AlternateContent>
        <mc:AlternateContent xmlns:mc="http://schemas.openxmlformats.org/markup-compatibility/2006">
          <mc:Choice Requires="x14">
            <control shapeId="3074" r:id="rId5" name="Button 2">
              <controlPr defaultSize="0" print="0" autoFill="0" autoPict="0" macro="[0]!test_run">
                <anchor moveWithCells="1" sizeWithCells="1">
                  <from>
                    <xdr:col>1</xdr:col>
                    <xdr:colOff>137160</xdr:colOff>
                    <xdr:row>19</xdr:row>
                    <xdr:rowOff>213360</xdr:rowOff>
                  </from>
                  <to>
                    <xdr:col>1</xdr:col>
                    <xdr:colOff>1722120</xdr:colOff>
                    <xdr:row>23</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D193D-610A-4F08-B599-0FD1B053848E}">
  <sheetPr codeName="Sheet2"/>
  <dimension ref="B2:D51"/>
  <sheetViews>
    <sheetView showGridLines="0" zoomScaleNormal="100" workbookViewId="0"/>
  </sheetViews>
  <sheetFormatPr defaultRowHeight="17.399999999999999"/>
  <sheetData>
    <row r="2" spans="2:4" s="24" customFormat="1" ht="25.2" thickBot="1">
      <c r="B2" s="24" t="s">
        <v>65</v>
      </c>
    </row>
    <row r="3" spans="2:4" ht="18" thickTop="1"/>
    <row r="4" spans="2:4">
      <c r="C4" t="s">
        <v>69</v>
      </c>
    </row>
    <row r="6" spans="2:4">
      <c r="D6" t="s">
        <v>66</v>
      </c>
    </row>
    <row r="7" spans="2:4">
      <c r="D7" t="s">
        <v>67</v>
      </c>
    </row>
    <row r="8" spans="2:4">
      <c r="D8" t="s">
        <v>68</v>
      </c>
    </row>
    <row r="11" spans="2:4" s="24" customFormat="1" ht="25.2" thickBot="1">
      <c r="B11" s="24" t="s">
        <v>64</v>
      </c>
    </row>
    <row r="12" spans="2:4" ht="18" thickTop="1"/>
    <row r="13" spans="2:4">
      <c r="C13" t="s">
        <v>82</v>
      </c>
    </row>
    <row r="14" spans="2:4">
      <c r="C14" t="s">
        <v>70</v>
      </c>
    </row>
    <row r="15" spans="2:4">
      <c r="C15" t="s">
        <v>71</v>
      </c>
    </row>
    <row r="16" spans="2:4">
      <c r="C16" t="s">
        <v>83</v>
      </c>
    </row>
    <row r="17" spans="3:3">
      <c r="C17" t="s">
        <v>72</v>
      </c>
    </row>
    <row r="18" spans="3:3">
      <c r="C18" t="s">
        <v>84</v>
      </c>
    </row>
    <row r="19" spans="3:3">
      <c r="C19" t="s">
        <v>85</v>
      </c>
    </row>
    <row r="20" spans="3:3">
      <c r="C20" t="s">
        <v>86</v>
      </c>
    </row>
    <row r="21" spans="3:3">
      <c r="C21" t="s">
        <v>87</v>
      </c>
    </row>
    <row r="22" spans="3:3">
      <c r="C22" t="s">
        <v>88</v>
      </c>
    </row>
    <row r="23" spans="3:3">
      <c r="C23" t="s">
        <v>89</v>
      </c>
    </row>
    <row r="42" spans="2:3" s="24" customFormat="1" ht="25.2" thickBot="1">
      <c r="B42" s="24" t="s">
        <v>75</v>
      </c>
    </row>
    <row r="43" spans="2:3" ht="18" thickTop="1"/>
    <row r="44" spans="2:3">
      <c r="C44" t="s">
        <v>76</v>
      </c>
    </row>
    <row r="46" spans="2:3">
      <c r="C46" t="s">
        <v>73</v>
      </c>
    </row>
    <row r="47" spans="2:3">
      <c r="C47" t="s">
        <v>74</v>
      </c>
    </row>
    <row r="49" spans="3:3">
      <c r="C49" t="s">
        <v>77</v>
      </c>
    </row>
    <row r="50" spans="3:3">
      <c r="C50" t="s">
        <v>78</v>
      </c>
    </row>
    <row r="51" spans="3:3">
      <c r="C51" t="s">
        <v>79</v>
      </c>
    </row>
  </sheetData>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15</vt:i4>
      </vt:variant>
    </vt:vector>
  </HeadingPairs>
  <TitlesOfParts>
    <vt:vector size="20" baseType="lpstr">
      <vt:lpstr>設計変数</vt:lpstr>
      <vt:lpstr>目的関数</vt:lpstr>
      <vt:lpstr>拘束関数</vt:lpstr>
      <vt:lpstr>最適化の設定</vt:lpstr>
      <vt:lpstr>備考</vt:lpstr>
      <vt:lpstr>algorithm</vt:lpstr>
      <vt:lpstr>constraint_sheet_name</vt:lpstr>
      <vt:lpstr>femprj_path</vt:lpstr>
      <vt:lpstr>history_csv_path</vt:lpstr>
      <vt:lpstr>input_sheet_name</vt:lpstr>
      <vt:lpstr>model_name</vt:lpstr>
      <vt:lpstr>n_parallel</vt:lpstr>
      <vt:lpstr>n_trials</vt:lpstr>
      <vt:lpstr>output_sheet_name</vt:lpstr>
      <vt:lpstr>procedure_name</vt:lpstr>
      <vt:lpstr>python</vt:lpstr>
      <vt:lpstr>seed</vt:lpstr>
      <vt:lpstr>setup_procedure_name</vt:lpstr>
      <vt:lpstr>teardown_procedure_name</vt:lpstr>
      <vt:lpstr>timeout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Kazuma Naito/内藤　一馬</dc:creator>
  <cp:lastModifiedBy>Kazuma Naito/内藤　一馬</cp:lastModifiedBy>
  <dcterms:created xsi:type="dcterms:W3CDTF">2024-12-06T06:35:48Z</dcterms:created>
  <dcterms:modified xsi:type="dcterms:W3CDTF">2025-03-26T07:24:12Z</dcterms:modified>
</cp:coreProperties>
</file>