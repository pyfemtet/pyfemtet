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C:\Users\mm11592\Documents\myFiles2\working\1_PyFemtetOpt\PyFemtetDev3\pyfemtet\pyfemtet\opt\advanced_samples\excel_ui\"/>
    </mc:Choice>
  </mc:AlternateContent>
  <xr:revisionPtr revIDLastSave="0" documentId="13_ncr:1_{6532C17D-C3F3-40D8-932B-CEEF8D9F7CC7}" xr6:coauthVersionLast="47" xr6:coauthVersionMax="47" xr10:uidLastSave="{00000000-0000-0000-0000-000000000000}"/>
  <bookViews>
    <workbookView xWindow="-110" yWindow="-110" windowWidth="19420" windowHeight="11620" activeTab="4" xr2:uid="{FD7BED01-BDD1-4531-A4F6-3F37526DEC5F}"/>
  </bookViews>
  <sheets>
    <sheet name="設計変数" sheetId="2" r:id="rId1"/>
    <sheet name="目的関数" sheetId="3" r:id="rId2"/>
    <sheet name="拘束関数" sheetId="5" r:id="rId3"/>
    <sheet name="最適化の設定" sheetId="4" r:id="rId4"/>
    <sheet name="備考" sheetId="9" r:id="rId5"/>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<sst xmlns="http://schemas.openxmlformats.org/spreadsheetml/2006/main" count="114" uniqueCount="110">
  <si>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</si>
  <si>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</si>
  <si>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</si>
  <si>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</si>
  <si>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</si>
  <si>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</si>
  <si>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</si>
  <si>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</si>
  <si>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</si>
  <si>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</si>
  <si>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</si>
  <si>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</si>
  <si>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</si>
  <si>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</si>
  <si>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</si>
  <si>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</si>
  <si>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</si>
  <si>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</si>
  <si>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</si>
  <si>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</si>
  <si>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</si>
  <si>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</si>
  <si>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</si>
  <si>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</si>
  <si>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</si>
  <si>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</si>
  <si>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</si>
  <si>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coil_radius_grad</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</si>
  <si>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</si>
  <si>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</si>
  <si>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</si>
  <si>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</si>
  <si>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</si>
  <si>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 1 巻きごとの巻き半径の増分</t>
    <rPh sb="7" eb="8">
      <t>マ</t>
    </rPh>
    <rPh sb="12" eb="13">
      <t>マ</t>
    </rPh>
    <rPh sb="14" eb="16">
      <t>ハンケイ</t>
    </rPh>
    <rPh sb="17" eb="19">
      <t>ゾウブン</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</si>
  <si>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</si>
  <si>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</si>
  <si>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</si>
  <si>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</si>
  <si>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</si>
  <si>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</si>
  <si>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</si>
  <si>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</si>
  <si>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</si>
  <si>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体積</t>
    <rPh sb="0" eb="2">
      <t>タイセキ</t>
    </rPh>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</si>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</sst>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3">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19</xdr:row>
          <xdr:rowOff>222250</xdr:rowOff>
        </xdr:from>
        <xdr:to>
          <xdr:col>2</xdr:col>
          <xdr:colOff>1835150</xdr:colOff>
          <xdr:row>23</xdr:row>
          <xdr:rowOff>31750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xdr:colOff>
          <xdr:row>19</xdr:row>
          <xdr:rowOff>215900</xdr:rowOff>
        </xdr:from>
        <xdr:to>
          <xdr:col>1</xdr:col>
          <xdr:colOff>1720850</xdr:colOff>
          <xdr:row>23</xdr:row>
          <xdr:rowOff>25400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1"/>
  <sheetViews>
    <sheetView showGridLines="0" workbookViewId="0"/>
  </sheetViews>
  <sheetFormatPr defaultColWidth="8.7109375" defaultRowHeight="17.5"/>
  <cols>
    <col min="1" max="2" width="8.7109375" style="6"/>
    <col min="3" max="3" width="15.92578125" style="6" customWidth="1"/>
    <col min="4" max="8" width="8.7109375" style="6"/>
    <col min="9" max="9" width="34.7109375" style="8" customWidth="1"/>
    <col min="10" max="16384" width="8.7109375" style="6"/>
  </cols>
  <sheetData>
    <row r="2" spans="1:9" s="5" customFormat="1" ht="24.5" thickBot="1">
      <c r="A2" s="7" t="s">
        <v>46</v>
      </c>
      <c r="I2" s="7"/>
    </row>
    <row r="3" spans="1:9" ht="18" thickTop="1"/>
    <row r="4" spans="1:9">
      <c r="B4" s="18" t="s">
        <v>19</v>
      </c>
      <c r="C4" s="20" t="s">
        <v>14</v>
      </c>
      <c r="D4" s="18" t="s">
        <v>18</v>
      </c>
      <c r="E4" s="20" t="s">
        <v>0</v>
      </c>
      <c r="F4" s="20" t="s">
        <v>15</v>
      </c>
      <c r="G4" s="20" t="s">
        <v>16</v>
      </c>
      <c r="H4" s="18" t="s">
        <v>17</v>
      </c>
      <c r="I4" s="18" t="s">
        <v>4</v>
      </c>
    </row>
    <row r="5" spans="1:9">
      <c r="B5" s="32" t="s">
        <v>20</v>
      </c>
      <c r="C5" s="9" t="s">
        <v>21</v>
      </c>
      <c r="D5" s="9" t="b">
        <v>1</v>
      </c>
      <c r="E5" s="9">
        <v>0.5</v>
      </c>
      <c r="F5" s="9">
        <v>0.1</v>
      </c>
      <c r="G5" s="9">
        <v>1</v>
      </c>
      <c r="H5" s="9"/>
      <c r="I5" s="10" t="s">
        <v>30</v>
      </c>
    </row>
    <row r="6" spans="1:9">
      <c r="B6" s="32"/>
      <c r="C6" s="9" t="s">
        <v>24</v>
      </c>
      <c r="D6" s="9" t="b">
        <v>1</v>
      </c>
      <c r="E6" s="9">
        <v>6</v>
      </c>
      <c r="F6" s="9">
        <v>1</v>
      </c>
      <c r="G6" s="9">
        <v>10</v>
      </c>
      <c r="H6" s="9"/>
      <c r="I6" s="10" t="s">
        <v>34</v>
      </c>
    </row>
    <row r="7" spans="1:9">
      <c r="B7" s="32"/>
      <c r="C7" s="9" t="s">
        <v>25</v>
      </c>
      <c r="D7" s="9" t="b">
        <v>1</v>
      </c>
      <c r="E7" s="9">
        <v>2</v>
      </c>
      <c r="F7" s="9">
        <v>1</v>
      </c>
      <c r="G7" s="9">
        <v>3</v>
      </c>
      <c r="H7" s="9"/>
      <c r="I7" s="10" t="s">
        <v>31</v>
      </c>
    </row>
    <row r="8" spans="1:9">
      <c r="B8" s="32"/>
      <c r="C8" s="9" t="s">
        <v>26</v>
      </c>
      <c r="D8" s="9" t="b">
        <v>1</v>
      </c>
      <c r="E8" s="9">
        <v>3</v>
      </c>
      <c r="F8" s="9">
        <v>1</v>
      </c>
      <c r="G8" s="9">
        <v>5</v>
      </c>
      <c r="H8" s="9">
        <v>1</v>
      </c>
      <c r="I8" s="10" t="s">
        <v>32</v>
      </c>
    </row>
    <row r="9" spans="1:9">
      <c r="B9" s="32"/>
      <c r="C9" s="9" t="s">
        <v>27</v>
      </c>
      <c r="D9" s="9" t="b">
        <v>1</v>
      </c>
      <c r="E9" s="9">
        <v>0.1</v>
      </c>
      <c r="F9" s="9">
        <v>0</v>
      </c>
      <c r="G9" s="9">
        <v>0.5</v>
      </c>
      <c r="H9" s="9">
        <v>0.1</v>
      </c>
      <c r="I9" s="10" t="s">
        <v>33</v>
      </c>
    </row>
    <row r="10" spans="1:9">
      <c r="B10" s="9" t="s">
        <v>29</v>
      </c>
      <c r="C10" s="9" t="s">
        <v>23</v>
      </c>
      <c r="D10" s="9" t="b">
        <v>0</v>
      </c>
      <c r="E10" s="9">
        <v>0</v>
      </c>
      <c r="F10" s="9">
        <v>0</v>
      </c>
      <c r="G10" s="9">
        <v>1</v>
      </c>
      <c r="H10" s="9"/>
      <c r="I10" s="10" t="s">
        <v>35</v>
      </c>
    </row>
    <row r="11" spans="1:9">
      <c r="B11" s="9" t="s">
        <v>22</v>
      </c>
      <c r="C11" s="9" t="s">
        <v>28</v>
      </c>
      <c r="D11" s="9" t="b">
        <v>0</v>
      </c>
      <c r="E11" s="9">
        <v>1</v>
      </c>
      <c r="F11" s="9">
        <v>1E-3</v>
      </c>
      <c r="G11" s="9">
        <v>20</v>
      </c>
      <c r="H11" s="9"/>
      <c r="I11" s="10" t="s">
        <v>62</v>
      </c>
    </row>
  </sheetData>
  <mergeCells count="1">
    <mergeCell ref="B5:B9"/>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5"/>
  <cols>
    <col min="1" max="1" width="9.140625" style="11" customWidth="1"/>
    <col min="2" max="2" width="14.2109375" style="11" customWidth="1"/>
    <col min="3" max="4" width="12" style="11"/>
    <col min="5" max="5" width="46.640625" style="12" customWidth="1"/>
    <col min="6" max="16384" width="12" style="11"/>
  </cols>
  <sheetData>
    <row r="2" spans="1:5" s="7" customFormat="1" ht="24.5" thickBot="1">
      <c r="A2" s="7" t="s">
        <v>45</v>
      </c>
    </row>
    <row r="3" spans="1:5" ht="18" thickTop="1"/>
    <row r="4" spans="1:5">
      <c r="B4" s="21" t="s">
        <v>36</v>
      </c>
      <c r="C4" s="21" t="s">
        <v>37</v>
      </c>
      <c r="D4" s="21" t="s">
        <v>38</v>
      </c>
      <c r="E4" s="17" t="s">
        <v>39</v>
      </c>
    </row>
    <row r="5" spans="1:5">
      <c r="B5" s="13" t="s">
        <v>40</v>
      </c>
      <c r="C5" s="13">
        <v>141.28342102076158</v>
      </c>
      <c r="D5" s="15">
        <v>100</v>
      </c>
      <c r="E5" s="14" t="s">
        <v>41</v>
      </c>
    </row>
    <row r="6" spans="1:5">
      <c r="B6" s="13" t="s">
        <v>43</v>
      </c>
      <c r="C6" s="13">
        <f>3.14 * (設計変数!E6 + 設計変数!E9*設計変数!E8) ^ 2 * (設計変数!E7*設計変数!E8)</f>
        <v>747.75959999999998</v>
      </c>
      <c r="D6" s="13" t="s">
        <v>42</v>
      </c>
      <c r="E6" s="14" t="s">
        <v>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5"/>
  <cols>
    <col min="2" max="3" width="14.2109375" customWidth="1"/>
    <col min="8" max="8" width="14.42578125" customWidth="1"/>
    <col min="9" max="9" width="61.0703125" customWidth="1"/>
  </cols>
  <sheetData>
    <row r="2" spans="1:9" s="7" customFormat="1" ht="24.5" thickBot="1">
      <c r="A2" s="7" t="s">
        <v>47</v>
      </c>
    </row>
    <row r="3" spans="1:9" ht="18" thickTop="1"/>
    <row r="4" spans="1:9">
      <c r="B4" s="21" t="s">
        <v>48</v>
      </c>
      <c r="C4" s="21" t="s">
        <v>52</v>
      </c>
      <c r="D4" s="21" t="s">
        <v>37</v>
      </c>
      <c r="E4" s="17" t="s">
        <v>49</v>
      </c>
      <c r="F4" s="17" t="s">
        <v>58</v>
      </c>
      <c r="G4" s="17" t="s">
        <v>59</v>
      </c>
      <c r="H4" s="17" t="s">
        <v>61</v>
      </c>
      <c r="I4" s="17" t="s">
        <v>39</v>
      </c>
    </row>
    <row r="5" spans="1:9">
      <c r="B5" s="13" t="s">
        <v>50</v>
      </c>
      <c r="C5" s="13" t="b">
        <v>1</v>
      </c>
      <c r="D5" s="13">
        <f>設計変数!E7 - 2 *設計変数!E5</f>
        <v>1</v>
      </c>
      <c r="E5" s="15">
        <v>0.1</v>
      </c>
      <c r="F5" s="15"/>
      <c r="G5" s="15"/>
      <c r="H5" s="15"/>
      <c r="I5" s="14" t="s">
        <v>51</v>
      </c>
    </row>
    <row r="6" spans="1:9">
      <c r="B6" s="9" t="s">
        <v>53</v>
      </c>
      <c r="C6" s="9" t="b">
        <v>0</v>
      </c>
      <c r="D6" s="9" cm="1">
        <f t="array" ref="D6">GetCoreRadius()</f>
        <v>0</v>
      </c>
      <c r="E6" s="9">
        <v>1</v>
      </c>
      <c r="F6" s="9"/>
      <c r="G6" s="9"/>
      <c r="H6" s="9"/>
      <c r="I6" s="16" t="s">
        <v>60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topLeftCell="A10" zoomScaleNormal="100" workbookViewId="0">
      <selection activeCell="C16" sqref="C16"/>
    </sheetView>
  </sheetViews>
  <sheetFormatPr defaultColWidth="8.92578125" defaultRowHeight="17.5"/>
  <cols>
    <col min="1" max="1" width="8.92578125" style="2"/>
    <col min="2" max="2" width="26.42578125" style="2" customWidth="1"/>
    <col min="3" max="3" width="29" style="4" customWidth="1"/>
    <col min="4" max="4" width="63.7109375" style="24" customWidth="1"/>
    <col min="5" max="16384" width="8.92578125" style="2"/>
  </cols>
  <sheetData>
    <row r="2" spans="1:4" s="29" customFormat="1" ht="24.5" thickBot="1">
      <c r="A2" s="29" t="s">
        <v>101</v>
      </c>
      <c r="C2" s="30"/>
      <c r="D2" s="31"/>
    </row>
    <row r="3" spans="1:4" ht="18" thickTop="1"/>
    <row r="4" spans="1:4" ht="21">
      <c r="B4" s="1" t="s">
        <v>1</v>
      </c>
      <c r="C4" s="1" t="s">
        <v>0</v>
      </c>
      <c r="D4" s="25" t="s">
        <v>4</v>
      </c>
    </row>
    <row r="5" spans="1:4" ht="70">
      <c r="B5" s="23" t="s">
        <v>63</v>
      </c>
      <c r="C5" s="3"/>
      <c r="D5" s="26" t="s">
        <v>100</v>
      </c>
    </row>
    <row r="6" spans="1:4">
      <c r="B6" s="23" t="s">
        <v>64</v>
      </c>
      <c r="C6" s="3"/>
      <c r="D6" s="26" t="s">
        <v>65</v>
      </c>
    </row>
    <row r="7" spans="1:4">
      <c r="B7" s="20" t="s">
        <v>8</v>
      </c>
      <c r="C7" s="3" t="s">
        <v>2</v>
      </c>
      <c r="D7" s="26" t="s">
        <v>66</v>
      </c>
    </row>
    <row r="8" spans="1:4">
      <c r="B8" s="20" t="s">
        <v>9</v>
      </c>
      <c r="C8" s="3" t="s">
        <v>3</v>
      </c>
      <c r="D8" s="26" t="s">
        <v>67</v>
      </c>
    </row>
    <row r="9" spans="1:4">
      <c r="B9" s="19" t="s">
        <v>54</v>
      </c>
      <c r="C9" s="3" t="s">
        <v>55</v>
      </c>
      <c r="D9" s="26" t="s">
        <v>68</v>
      </c>
    </row>
    <row r="10" spans="1:4">
      <c r="B10" s="22" t="s">
        <v>11</v>
      </c>
      <c r="C10" s="3" t="s">
        <v>56</v>
      </c>
      <c r="D10" s="26" t="s">
        <v>13</v>
      </c>
    </row>
    <row r="11" spans="1:4">
      <c r="B11" s="23" t="s">
        <v>57</v>
      </c>
      <c r="C11" s="3">
        <v>20</v>
      </c>
      <c r="D11" s="26" t="s">
        <v>69</v>
      </c>
    </row>
    <row r="12" spans="1:4">
      <c r="B12" s="23" t="s">
        <v>5</v>
      </c>
      <c r="C12" s="3"/>
      <c r="D12" s="26" t="s">
        <v>70</v>
      </c>
    </row>
    <row r="13" spans="1:4" ht="35">
      <c r="B13" s="23" t="s">
        <v>6</v>
      </c>
      <c r="C13" s="3"/>
      <c r="D13" s="26" t="s">
        <v>71</v>
      </c>
    </row>
    <row r="14" spans="1:4">
      <c r="B14" s="23" t="s">
        <v>72</v>
      </c>
      <c r="C14" s="3"/>
      <c r="D14" s="26" t="s">
        <v>12</v>
      </c>
    </row>
    <row r="15" spans="1:4" ht="52.5">
      <c r="B15" s="22" t="s">
        <v>7</v>
      </c>
      <c r="C15" s="3">
        <v>3</v>
      </c>
      <c r="D15" s="26" t="s">
        <v>73</v>
      </c>
    </row>
    <row r="16" spans="1:4" ht="87.5">
      <c r="B16" s="23" t="s">
        <v>10</v>
      </c>
      <c r="C16" s="27"/>
      <c r="D16" s="26" t="s">
        <v>74</v>
      </c>
    </row>
    <row r="17" spans="2:4">
      <c r="B17" s="22" t="s">
        <v>75</v>
      </c>
      <c r="C17" s="27" t="s">
        <v>76</v>
      </c>
      <c r="D17" s="26" t="s">
        <v>79</v>
      </c>
    </row>
    <row r="18" spans="2:4" ht="35">
      <c r="B18" s="23" t="s">
        <v>81</v>
      </c>
      <c r="C18" s="27" t="s">
        <v>77</v>
      </c>
      <c r="D18" s="26" t="s">
        <v>80</v>
      </c>
    </row>
    <row r="19" spans="2:4" ht="35">
      <c r="B19" s="23" t="s">
        <v>82</v>
      </c>
      <c r="C19" s="27" t="s">
        <v>78</v>
      </c>
      <c r="D19" s="26" t="s">
        <v>83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215900</xdr:colOff>
                    <xdr:row>19</xdr:row>
                    <xdr:rowOff>222250</xdr:rowOff>
                  </from>
                  <to>
                    <xdr:col>2</xdr:col>
                    <xdr:colOff>1835150</xdr:colOff>
                    <xdr:row>23</xdr:row>
                    <xdr:rowOff>31750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139700</xdr:colOff>
                    <xdr:row>19</xdr:row>
                    <xdr:rowOff>215900</xdr:rowOff>
                  </from>
                  <to>
                    <xdr:col>1</xdr:col>
                    <xdr:colOff>1720850</xdr:colOff>
                    <xdr:row>23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tabSelected="1" topLeftCell="A24" zoomScaleNormal="100" workbookViewId="0">
      <selection activeCell="C24" sqref="C24"/>
    </sheetView>
  </sheetViews>
  <sheetFormatPr defaultRowHeight="17.5"/>
  <sheetData>
    <row r="2" spans="2:4" s="28" customFormat="1" ht="24.5" thickBot="1">
      <c r="B2" s="28" t="s">
        <v>85</v>
      </c>
    </row>
    <row r="3" spans="2:4" ht="18" thickTop="1"/>
    <row r="4" spans="2:4">
      <c r="C4" t="s">
        <v>89</v>
      </c>
    </row>
    <row r="6" spans="2:4">
      <c r="D6" t="s">
        <v>86</v>
      </c>
    </row>
    <row r="7" spans="2:4">
      <c r="D7" t="s">
        <v>87</v>
      </c>
    </row>
    <row r="8" spans="2:4">
      <c r="D8" t="s">
        <v>88</v>
      </c>
    </row>
    <row r="11" spans="2:4" s="28" customFormat="1" ht="24.5" thickBot="1">
      <c r="B11" s="28" t="s">
        <v>84</v>
      </c>
    </row>
    <row r="12" spans="2:4" ht="18" thickTop="1"/>
    <row r="13" spans="2:4">
      <c r="C13" t="s">
        <v>102</v>
      </c>
    </row>
    <row r="14" spans="2:4">
      <c r="C14" t="s">
        <v>90</v>
      </c>
    </row>
    <row r="15" spans="2:4">
      <c r="C15" t="s">
        <v>91</v>
      </c>
    </row>
    <row r="16" spans="2:4">
      <c r="C16" t="s">
        <v>103</v>
      </c>
    </row>
    <row r="17" spans="3:3">
      <c r="C17" t="s">
        <v>92</v>
      </c>
    </row>
    <row r="18" spans="3:3">
      <c r="C18" t="s">
        <v>104</v>
      </c>
    </row>
    <row r="19" spans="3:3">
      <c r="C19" t="s">
        <v>105</v>
      </c>
    </row>
    <row r="20" spans="3:3">
      <c r="C20" t="s">
        <v>106</v>
      </c>
    </row>
    <row r="21" spans="3:3">
      <c r="C21" t="s">
        <v>107</v>
      </c>
    </row>
    <row r="22" spans="3:3">
      <c r="C22" t="s">
        <v>108</v>
      </c>
    </row>
    <row r="23" spans="3:3">
      <c r="C23" t="s">
        <v>109</v>
      </c>
    </row>
    <row r="42" spans="2:3" s="28" customFormat="1" ht="24.5" thickBot="1">
      <c r="B42" s="28" t="s">
        <v>95</v>
      </c>
    </row>
    <row r="43" spans="2:3" ht="18" thickTop="1"/>
    <row r="44" spans="2:3">
      <c r="C44" t="s">
        <v>96</v>
      </c>
    </row>
    <row r="46" spans="2:3">
      <c r="C46" t="s">
        <v>93</v>
      </c>
    </row>
    <row r="47" spans="2:3">
      <c r="C47" t="s">
        <v>94</v>
      </c>
    </row>
    <row r="49" spans="3:3">
      <c r="C49" t="s">
        <v>97</v>
      </c>
    </row>
    <row r="50" spans="3:3">
      <c r="C50" t="s">
        <v>98</v>
      </c>
    </row>
    <row r="51" spans="3:3">
      <c r="C51" t="s">
        <v>99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2024-12-27T02:58:56Z</dcterms:modified>
</cp:coreProperties>
</file>