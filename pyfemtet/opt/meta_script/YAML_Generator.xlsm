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E:\pyfemtet\pyfemtet\pyfemtet\opt\meta_script\"/>
    </mc:Choice>
  </mc:AlternateContent>
  <xr:revisionPtr revIDLastSave="0" documentId="13_ncr:1_{E6B4711A-E850-49B6-A67E-C98501BEED78}" xr6:coauthVersionLast="47" xr6:coauthVersionMax="47" xr10:uidLastSave="{00000000-0000-0000-0000-000000000000}"/>
  <bookViews>
    <workbookView xWindow="-108" yWindow="-108" windowWidth="23256" windowHeight="14016" tabRatio="710" activeTab="4" xr2:uid="{FD7BED01-BDD1-4531-A4F6-3F37526DEC5F}"/>
  </bookViews>
  <sheets>
    <sheet name="インストール" sheetId="13" r:id="rId1"/>
    <sheet name="最適化セットアップ" sheetId="16" r:id="rId2"/>
    <sheet name="最適化セットアップ2" sheetId="18" r:id="rId3"/>
    <sheet name="最適化セットアップ3" sheetId="21" r:id="rId4"/>
    <sheet name="実行設定" sheetId="4" r:id="rId5"/>
    <sheet name="yaml_Femtet" sheetId="11" state="hidden" r:id="rId6"/>
    <sheet name="yaml_GP" sheetId="17" state="hidden" r:id="rId7"/>
    <sheet name="yaml_Excel" sheetId="20" state="hidden" r:id="rId8"/>
    <sheet name="最適化セットアップシートの書式説明" sheetId="10" r:id="rId9"/>
    <sheet name="備考" sheetId="9" r:id="rId10"/>
  </sheets>
  <functionGroups builtInGroupCount="19"/>
  <definedNames>
    <definedName name="additional_module_path">実行設定!$C$21</definedName>
    <definedName name="B_history_path">実行設定!$C$38</definedName>
    <definedName name="B_input_sheet_name">実行設定!$C$32</definedName>
    <definedName name="B_n_parallel">実行設定!$C$43</definedName>
    <definedName name="B_n_startup_trials">実行設定!$C$35</definedName>
    <definedName name="B_n_trials">実行設定!$C$40</definedName>
    <definedName name="B_population_size">実行設定!$C$36</definedName>
    <definedName name="B_sampler_class">実行設定!$C$34</definedName>
    <definedName name="B_seed">実行設定!$C$42</definedName>
    <definedName name="B_timeout">実行設定!$C$41</definedName>
    <definedName name="B_train_history_path">実行設定!$C$30</definedName>
    <definedName name="C_history_path">実行設定!$C$62</definedName>
    <definedName name="C_input_sheet_name">実行設定!$C$52</definedName>
    <definedName name="C_n_parallel">実行設定!$C$67</definedName>
    <definedName name="C_n_startup_trials">実行設定!$C$59</definedName>
    <definedName name="C_n_trials">実行設定!$C$64</definedName>
    <definedName name="C_population_size">実行設定!$C$60</definedName>
    <definedName name="C_procedure_name">実行設定!$C$55</definedName>
    <definedName name="C_sampler_class">実行設定!$C$58</definedName>
    <definedName name="C_seed">実行設定!$C$66</definedName>
    <definedName name="C_setup_procedure_name">実行設定!$C$54</definedName>
    <definedName name="C_teardown_procedure_name">実行設定!$C$56</definedName>
    <definedName name="C_timeout">実行設定!$C$65</definedName>
    <definedName name="constraint_sheet_name">実行設定!#REF!</definedName>
    <definedName name="femprj_path">実行設定!$C$6</definedName>
    <definedName name="functions_description_module_path">実行設定!#REF!</definedName>
    <definedName name="history_csv_path">実行設定!$C$14</definedName>
    <definedName name="input_sheet_name">実行設定!$C$8</definedName>
    <definedName name="input_xlsm_path">実行設定!#REF!</definedName>
    <definedName name="model_name">実行設定!$C$7</definedName>
    <definedName name="n_parallel">実行設定!$C$19</definedName>
    <definedName name="n_startup_trials">実行設定!$C$11</definedName>
    <definedName name="n_trials">実行設定!$C$16</definedName>
    <definedName name="output_sheet_name">実行設定!#REF!</definedName>
    <definedName name="population_size">実行設定!$C$12</definedName>
    <definedName name="procedure_name">実行設定!#REF!</definedName>
    <definedName name="python_exe_path">実行設定!$C$77</definedName>
    <definedName name="sampler_class">実行設定!$C$10</definedName>
    <definedName name="seed">実行設定!$C$18</definedName>
    <definedName name="setup_procedure_name">実行設定!#REF!</definedName>
    <definedName name="teardown_procedure_name">実行設定!#REF!</definedName>
    <definedName name="timeout">実行設定!$C$17</definedName>
    <definedName name="training_csv_path">実行設定!#REF!</definedName>
    <definedName name="version">インストール!$G$25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18" l="1"/>
  <c r="E19" i="16"/>
  <c r="E20" i="16"/>
  <c r="C9" i="20"/>
  <c r="C4" i="20"/>
  <c r="C33" i="20"/>
  <c r="B33" i="20"/>
  <c r="C5" i="17"/>
  <c r="C30" i="4"/>
  <c r="C3" i="17" s="1"/>
  <c r="C35" i="11"/>
  <c r="B35" i="11"/>
  <c r="C30" i="20" a="1"/>
  <c r="C28" i="20" a="1"/>
  <c r="C27" i="20" a="1"/>
  <c r="D23" i="20" a="1"/>
  <c r="D22" i="20" a="1"/>
  <c r="C25" i="20" a="1"/>
  <c r="C3" i="20" a="1"/>
  <c r="C4" i="17" a="1"/>
  <c r="C5" i="11" a="1"/>
  <c r="D24" i="11" a="1"/>
  <c r="C29" i="11" a="1"/>
  <c r="C20" i="20" a="1"/>
  <c r="C22" i="17" a="1"/>
  <c r="C27" i="11" a="1"/>
  <c r="C11" i="11" a="1"/>
  <c r="C20" i="17" a="1"/>
  <c r="C32" i="11" a="1"/>
  <c r="C19" i="17" a="1"/>
  <c r="B31" i="20" a="1"/>
  <c r="C17" i="17" a="1"/>
  <c r="C22" i="11" a="1"/>
  <c r="D15" i="17" a="1"/>
  <c r="C17" i="11" a="1"/>
  <c r="D14" i="17" a="1"/>
  <c r="C12" i="17" a="1"/>
  <c r="C30" i="11" a="1"/>
  <c r="B23" i="17" a="1"/>
  <c r="C14" i="11" a="1"/>
  <c r="C12" i="20" a="1"/>
  <c r="C15" i="20" a="1"/>
  <c r="D25" i="11" a="1"/>
  <c r="B33" i="11" a="1"/>
  <c r="C30" i="20" l="1"/>
  <c r="C28" i="20"/>
  <c r="C27" i="20"/>
  <c r="D23" i="20"/>
  <c r="D22" i="20"/>
  <c r="C25" i="20"/>
  <c r="C12" i="20"/>
  <c r="C15" i="20"/>
  <c r="C20" i="20"/>
  <c r="B31" i="20"/>
  <c r="C3" i="20"/>
  <c r="C22" i="17"/>
  <c r="C20" i="17"/>
  <c r="C19" i="17"/>
  <c r="C17" i="17"/>
  <c r="D15" i="17"/>
  <c r="D14" i="17"/>
  <c r="C12" i="17"/>
  <c r="C4" i="17"/>
  <c r="B23" i="17"/>
  <c r="C17" i="11"/>
  <c r="C14" i="11"/>
  <c r="D25" i="11"/>
  <c r="B33" i="11"/>
  <c r="C32" i="11"/>
  <c r="C22" i="11"/>
  <c r="C30" i="11"/>
  <c r="C29" i="11"/>
  <c r="C27" i="11"/>
  <c r="D24" i="11"/>
  <c r="C11" i="11"/>
  <c r="C5" i="11"/>
  <c r="C6" i="11" l="1"/>
  <c r="C3" i="11"/>
  <c r="C4" i="11" a="1"/>
  <c r="C4" i="1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<sst xmlns="http://schemas.openxmlformats.org/spreadsheetml/2006/main" count="393" uniqueCount="196">
  <si>
    <t>値</t>
    <rPh sb="0" eb="1">
      <t>アタイ</t>
    </rPh>
    <phoneticPr fontId="1"/>
  </si>
  <si>
    <t>項目</t>
    <rPh sb="0" eb="2">
      <t>コウモク</t>
    </rPh>
    <phoneticPr fontId="1"/>
  </si>
  <si>
    <t>設計変数</t>
    <rPh sb="0" eb="2">
      <t>セッケイ</t>
    </rPh>
    <rPh sb="2" eb="4">
      <t>ヘンスウ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</si>
  <si>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</si>
  <si>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</si>
  <si>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</si>
  <si>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</si>
  <si>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</si>
  <si>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変数名</t>
    <rPh sb="0" eb="3">
      <t>ヘンスウメイ</t>
    </rPh>
    <phoneticPr fontId="1"/>
  </si>
  <si>
    <t>下限</t>
    <rPh sb="0" eb="2">
      <t>カゲン</t>
    </rPh>
    <phoneticPr fontId="1"/>
  </si>
  <si>
    <t>上限</t>
    <rPh sb="0" eb="2">
      <t>ジョウゲン</t>
    </rPh>
    <phoneticPr fontId="1"/>
  </si>
  <si>
    <t>ステップ</t>
    <phoneticPr fontId="1"/>
  </si>
  <si>
    <t>試行数</t>
    <rPh sb="0" eb="2">
      <t>シコウ</t>
    </rPh>
    <rPh sb="2" eb="3">
      <t>スウ</t>
    </rPh>
    <phoneticPr fontId="1"/>
  </si>
  <si>
    <t>プロジェクトファイル名</t>
    <rPh sb="10" eb="11">
      <t>メイ</t>
    </rPh>
    <phoneticPr fontId="1"/>
  </si>
  <si>
    <t>解析モデル名</t>
    <rPh sb="0" eb="2">
      <t>カイセキ</t>
    </rPh>
    <rPh sb="5" eb="6">
      <t>メイ</t>
    </rPh>
    <phoneticPr fontId="1"/>
  </si>
  <si>
    <t>前提条件</t>
    <rPh sb="0" eb="2">
      <t>ゼンテイ</t>
    </rPh>
    <rPh sb="2" eb="4">
      <t>ジョウケン</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</si>
  <si>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</si>
  <si>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</si>
  <si>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</si>
  <si>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仕様</t>
    <rPh sb="0" eb="2">
      <t>シヨウ</t>
    </rPh>
    <phoneticPr fontId="1"/>
  </si>
  <si>
    <t>2. keyword (後述) が記載されているセルを探し、それに一致するセルより上および左の行・列をデータから除きます。</t>
    <rPh sb="12" eb="14">
      <t>コウジュツ</t>
    </rPh>
    <rPh sb="17" eb="19">
      <t>キサイ</t>
    </rPh>
    <rPh sb="27" eb="28">
      <t>サガ</t>
    </rPh>
    <phoneticPr fontId="1"/>
  </si>
  <si>
    <t>1. シート全体 (A1 セルから、値が入力されている最終セルまで) をデータに取り込みます。</t>
  </si>
  <si>
    <t>3. その時点のデータの上から順に見てすべてのセルが空白である行以下の行をデータから除きます。</t>
  </si>
  <si>
    <t>4. すべてのセルが空白である列をデータから除きます。</t>
  </si>
  <si>
    <t>キーワードは、「変数名」「目的名」「拘束名」です。</t>
    <rPh sb="8" eb="11">
      <t>ヘンスウメイ</t>
    </rPh>
    <rPh sb="13" eb="15">
      <t>モクテキ</t>
    </rPh>
    <rPh sb="15" eb="16">
      <t>メイ</t>
    </rPh>
    <rPh sb="18" eb="20">
      <t>コウソク</t>
    </rPh>
    <rPh sb="20" eb="21">
      <t>メイ</t>
    </rPh>
    <phoneticPr fontId="1"/>
  </si>
  <si>
    <t>さらに、各キーワードは、そのキーワードに対応する表が持つべきカラムの名前を有します。</t>
    <rPh sb="4" eb="5">
      <t>カク</t>
    </rPh>
    <rPh sb="20" eb="22">
      <t>タイオウ</t>
    </rPh>
    <rPh sb="24" eb="25">
      <t>ヒョウ</t>
    </rPh>
    <rPh sb="26" eb="27">
      <t>モ</t>
    </rPh>
    <rPh sb="34" eb="36">
      <t>ナマエ</t>
    </rPh>
    <rPh sb="37" eb="38">
      <t>ユウ</t>
    </rPh>
    <phoneticPr fontId="1"/>
  </si>
  <si>
    <t>「変数」の表</t>
    <rPh sb="1" eb="3">
      <t>ヘンスウ</t>
    </rPh>
    <rPh sb="5" eb="6">
      <t>ヒョウ</t>
    </rPh>
    <phoneticPr fontId="1"/>
  </si>
  <si>
    <t>必須：</t>
    <rPh sb="0" eb="2">
      <t>ヒッス</t>
    </rPh>
    <phoneticPr fontId="1"/>
  </si>
  <si>
    <t>オプション：</t>
    <phoneticPr fontId="1"/>
  </si>
  <si>
    <t>「値」</t>
    <rPh sb="1" eb="2">
      <t>アタイ</t>
    </rPh>
    <phoneticPr fontId="1"/>
  </si>
  <si>
    <t>「下限」</t>
    <rPh sb="1" eb="3">
      <t>カゲン</t>
    </rPh>
    <phoneticPr fontId="1"/>
  </si>
  <si>
    <t>「上限」</t>
    <rPh sb="1" eb="3">
      <t>ジョウゲン</t>
    </rPh>
    <phoneticPr fontId="1"/>
  </si>
  <si>
    <t>「ステップ」</t>
    <phoneticPr fontId="1"/>
  </si>
  <si>
    <t>「使用」</t>
    <rPh sb="1" eb="3">
      <t>シヨウ</t>
    </rPh>
    <phoneticPr fontId="1"/>
  </si>
  <si>
    <t>「目的」の表</t>
    <rPh sb="1" eb="3">
      <t>モクテキ</t>
    </rPh>
    <rPh sb="5" eb="6">
      <t>ヒョウ</t>
    </rPh>
    <phoneticPr fontId="1"/>
  </si>
  <si>
    <t>「変数名」</t>
    <rPh sb="1" eb="4">
      <t>ヘンスウメイ</t>
    </rPh>
    <phoneticPr fontId="1"/>
  </si>
  <si>
    <t>「目的名」</t>
    <rPh sb="1" eb="3">
      <t>モクテキ</t>
    </rPh>
    <rPh sb="3" eb="4">
      <t>メイ</t>
    </rPh>
    <phoneticPr fontId="1"/>
  </si>
  <si>
    <t>「目標」</t>
    <rPh sb="1" eb="3">
      <t>モクヒョウ</t>
    </rPh>
    <phoneticPr fontId="1"/>
  </si>
  <si>
    <t>「拘束」の表</t>
    <rPh sb="1" eb="3">
      <t>コウソク</t>
    </rPh>
    <rPh sb="5" eb="6">
      <t>ヒョウ</t>
    </rPh>
    <phoneticPr fontId="1"/>
  </si>
  <si>
    <t>「拘束名」</t>
    <rPh sb="1" eb="3">
      <t>コウソク</t>
    </rPh>
    <rPh sb="3" eb="4">
      <t>メイ</t>
    </rPh>
    <rPh sb="4" eb="5">
      <t>メナ</t>
    </rPh>
    <phoneticPr fontId="1"/>
  </si>
  <si>
    <t>「厳守」</t>
    <rPh sb="1" eb="3">
      <t>ゲンシュ</t>
    </rPh>
    <phoneticPr fontId="1"/>
  </si>
  <si>
    <t>「ソルブ前に計算」</t>
    <rPh sb="4" eb="5">
      <t>マエ</t>
    </rPh>
    <rPh sb="6" eb="8">
      <t>ケイサン</t>
    </rPh>
    <phoneticPr fontId="1"/>
  </si>
  <si>
    <t>変数の値です。最適化開始時に初期値として扱われます。</t>
    <rPh sb="0" eb="2">
      <t>ヘンスウ</t>
    </rPh>
    <rPh sb="3" eb="4">
      <t>アタイ</t>
    </rPh>
    <rPh sb="7" eb="10">
      <t>サイテキカ</t>
    </rPh>
    <rPh sb="10" eb="12">
      <t>カイシ</t>
    </rPh>
    <rPh sb="12" eb="13">
      <t>ジ</t>
    </rPh>
    <rPh sb="14" eb="17">
      <t>ショキチ</t>
    </rPh>
    <rPh sb="20" eb="21">
      <t>アツカ</t>
    </rPh>
    <phoneticPr fontId="1"/>
  </si>
  <si>
    <t>変数の下限です。</t>
    <rPh sb="0" eb="2">
      <t>ヘンスウ</t>
    </rPh>
    <rPh sb="3" eb="5">
      <t>カゲン</t>
    </rPh>
    <phoneticPr fontId="1"/>
  </si>
  <si>
    <t>変数の上限です。</t>
    <rPh sb="0" eb="2">
      <t>ヘンスウ</t>
    </rPh>
    <rPh sb="3" eb="5">
      <t>ジョウゲン</t>
    </rPh>
    <phoneticPr fontId="1"/>
  </si>
  <si>
    <t>必須のカラムを持っていなければ PyFemtet はエラーを送出します。</t>
    <rPh sb="0" eb="2">
      <t>ヒッス</t>
    </rPh>
    <rPh sb="7" eb="8">
      <t>モ</t>
    </rPh>
    <rPh sb="30" eb="32">
      <t>ソウシュツ</t>
    </rPh>
    <phoneticPr fontId="1"/>
  </si>
  <si>
    <t>オプションのカラムを持っていなければデフォルト値が使われます。</t>
    <rPh sb="10" eb="11">
      <t>モ</t>
    </rPh>
    <rPh sb="23" eb="24">
      <t>アタイ</t>
    </rPh>
    <rPh sb="25" eb="26">
      <t>ツカ</t>
    </rPh>
    <phoneticPr fontId="1"/>
  </si>
  <si>
    <t>目的関数の名前です。重複しないようにしてください。</t>
    <rPh sb="0" eb="2">
      <t>モクテキ</t>
    </rPh>
    <rPh sb="2" eb="4">
      <t>カンスウ</t>
    </rPh>
    <rPh sb="5" eb="7">
      <t>ナマエ</t>
    </rPh>
    <rPh sb="10" eb="12">
      <t>チョウフク</t>
    </rPh>
    <phoneticPr fontId="1"/>
  </si>
  <si>
    <t>変数の名前です。重複しないようにしてください。</t>
    <rPh sb="0" eb="2">
      <t>ヘンスウ</t>
    </rPh>
    <rPh sb="3" eb="5">
      <t>ナマエ</t>
    </rPh>
    <rPh sb="8" eb="10">
      <t>チョウフク</t>
    </rPh>
    <phoneticPr fontId="1"/>
  </si>
  <si>
    <t>変数を連続値でなく離散値として使う場合のステップです。</t>
    <rPh sb="0" eb="2">
      <t>ヘンスウ</t>
    </rPh>
    <rPh sb="3" eb="5">
      <t>レンゾク</t>
    </rPh>
    <rPh sb="5" eb="6">
      <t>アタイ</t>
    </rPh>
    <rPh sb="9" eb="11">
      <t>リサン</t>
    </rPh>
    <rPh sb="11" eb="12">
      <t>アタイ</t>
    </rPh>
    <rPh sb="15" eb="16">
      <t>ツカ</t>
    </rPh>
    <rPh sb="17" eb="19">
      <t>バアイ</t>
    </rPh>
    <phoneticPr fontId="1"/>
  </si>
  <si>
    <t>指定した場合、「値」 - 「下限」及び「上限」 - 「下限」が「ステップ」で割り切れるようにしてください。</t>
    <phoneticPr fontId="1"/>
  </si>
  <si>
    <t>デフォルトは空欄です。</t>
  </si>
  <si>
    <t>最適化開始時の値は無視されます。</t>
    <phoneticPr fontId="1"/>
  </si>
  <si>
    <t>目的関数の計算結果です。最適化のループ中、PyFemtet はこのセルの値を読み取ります。</t>
    <rPh sb="0" eb="2">
      <t>モクテキ</t>
    </rPh>
    <rPh sb="2" eb="4">
      <t>カンスウ</t>
    </rPh>
    <rPh sb="5" eb="7">
      <t>ケイサン</t>
    </rPh>
    <rPh sb="7" eb="9">
      <t>ケッカ</t>
    </rPh>
    <phoneticPr fontId="1"/>
  </si>
  <si>
    <t>FemtetMain マクロを実行したらこのセルが更新されるようにマクロを作成してください。</t>
    <rPh sb="25" eb="27">
      <t>コウシン</t>
    </rPh>
    <rPh sb="37" eb="39">
      <t>サクセイ</t>
    </rPh>
    <phoneticPr fontId="1"/>
  </si>
  <si>
    <t>目的関数の方向です。数値または「minimize」または「maximize」を入力できます。</t>
    <rPh sb="0" eb="2">
      <t>モクテキ</t>
    </rPh>
    <rPh sb="2" eb="4">
      <t>カンスウ</t>
    </rPh>
    <rPh sb="5" eb="7">
      <t>ホウコウ</t>
    </rPh>
    <rPh sb="10" eb="12">
      <t>スウチ</t>
    </rPh>
    <rPh sb="39" eb="41">
      <t>ニュウリョク</t>
    </rPh>
    <phoneticPr fontId="1"/>
  </si>
  <si>
    <t>この目的関数を最適化に使うかどうかです。デフォルトは TRUE です。</t>
    <rPh sb="2" eb="4">
      <t>モクテキ</t>
    </rPh>
    <rPh sb="4" eb="6">
      <t>カンスウ</t>
    </rPh>
    <rPh sb="7" eb="10">
      <t>サイテキカ</t>
    </rPh>
    <rPh sb="11" eb="12">
      <t>ツカ</t>
    </rPh>
    <phoneticPr fontId="1"/>
  </si>
  <si>
    <t>この変数を最適化に使うかどうかです。デフォルトは TRUE です。</t>
    <rPh sb="2" eb="4">
      <t>ヘンスウ</t>
    </rPh>
    <rPh sb="5" eb="8">
      <t>サイテキカ</t>
    </rPh>
    <rPh sb="9" eb="10">
      <t>ツカ</t>
    </rPh>
    <phoneticPr fontId="1"/>
  </si>
  <si>
    <t>拘束関数の名前です。重複しないようにしてください。</t>
    <rPh sb="0" eb="2">
      <t>コウソク</t>
    </rPh>
    <rPh sb="2" eb="4">
      <t>カンスウ</t>
    </rPh>
    <rPh sb="5" eb="7">
      <t>ナマエ</t>
    </rPh>
    <rPh sb="10" eb="12">
      <t>チョウフク</t>
    </rPh>
    <phoneticPr fontId="1"/>
  </si>
  <si>
    <t>拘束関数の計算結果です。最適化のループ中、PyFemtet はこのセルの値を読み取ります。</t>
    <rPh sb="0" eb="2">
      <t>コウソク</t>
    </rPh>
    <rPh sb="2" eb="4">
      <t>カンスウ</t>
    </rPh>
    <rPh sb="5" eb="7">
      <t>ケイサン</t>
    </rPh>
    <rPh sb="7" eb="9">
      <t>ケッカ</t>
    </rPh>
    <phoneticPr fontId="1"/>
  </si>
  <si>
    <t>「ソルブ前に計算」が TRUE である場合、「変数」の更新後・FemtetMacro 実行前にこの値を読み取ります。</t>
    <rPh sb="4" eb="5">
      <t>マエ</t>
    </rPh>
    <rPh sb="6" eb="8">
      <t>ケイサン</t>
    </rPh>
    <rPh sb="19" eb="21">
      <t>バアイ</t>
    </rPh>
    <rPh sb="23" eb="25">
      <t>ヘンスウ</t>
    </rPh>
    <rPh sb="27" eb="29">
      <t>コウシン</t>
    </rPh>
    <rPh sb="29" eb="30">
      <t>ゴ</t>
    </rPh>
    <rPh sb="43" eb="45">
      <t>ジッコウ</t>
    </rPh>
    <rPh sb="45" eb="46">
      <t>マエ</t>
    </rPh>
    <rPh sb="49" eb="50">
      <t>アタイ</t>
    </rPh>
    <rPh sb="51" eb="52">
      <t>ヨ</t>
    </rPh>
    <rPh sb="53" eb="54">
      <t>ト</t>
    </rPh>
    <phoneticPr fontId="1"/>
  </si>
  <si>
    <t>注意：</t>
    <rPh sb="0" eb="2">
      <t>チュウイ</t>
    </rPh>
    <phoneticPr fontId="1"/>
  </si>
  <si>
    <t>何らかの FemtetMacro の計算結果を拘束関数として扱う場合、「ソルブ前に計算」を FALSE にしてください。</t>
    <rPh sb="0" eb="1">
      <t>ナン</t>
    </rPh>
    <rPh sb="18" eb="20">
      <t>ケイサン</t>
    </rPh>
    <rPh sb="20" eb="22">
      <t>ケッカ</t>
    </rPh>
    <rPh sb="23" eb="25">
      <t>コウソク</t>
    </rPh>
    <rPh sb="25" eb="27">
      <t>カンスウ</t>
    </rPh>
    <rPh sb="30" eb="31">
      <t>アツカ</t>
    </rPh>
    <rPh sb="32" eb="34">
      <t>バアイ</t>
    </rPh>
    <rPh sb="39" eb="40">
      <t>マエ</t>
    </rPh>
    <rPh sb="41" eb="43">
      <t>ケイサン</t>
    </rPh>
    <phoneticPr fontId="1"/>
  </si>
  <si>
    <t>拘束関数の計算結果の下限です。</t>
    <rPh sb="0" eb="2">
      <t>コウソク</t>
    </rPh>
    <rPh sb="2" eb="4">
      <t>カンスウ</t>
    </rPh>
    <rPh sb="5" eb="7">
      <t>ケイサン</t>
    </rPh>
    <rPh sb="7" eb="9">
      <t>ケッカ</t>
    </rPh>
    <rPh sb="10" eb="12">
      <t>カゲン</t>
    </rPh>
    <phoneticPr fontId="1"/>
  </si>
  <si>
    <t>拘束関数の計算結果の上限です。</t>
    <rPh sb="0" eb="2">
      <t>コウソク</t>
    </rPh>
    <rPh sb="2" eb="4">
      <t>カンスウ</t>
    </rPh>
    <rPh sb="5" eb="7">
      <t>ケイサン</t>
    </rPh>
    <rPh sb="7" eb="9">
      <t>ケッカ</t>
    </rPh>
    <rPh sb="10" eb="12">
      <t>ジョウゲン</t>
    </rPh>
    <phoneticPr fontId="1"/>
  </si>
  <si>
    <t>デフォルトは TRUE です。</t>
    <phoneticPr fontId="1"/>
  </si>
  <si>
    <t>拘束関数の計算結果に上下限を厳守させるかどうかです。</t>
    <rPh sb="0" eb="2">
      <t>コウソク</t>
    </rPh>
    <rPh sb="2" eb="4">
      <t>カンスウ</t>
    </rPh>
    <rPh sb="5" eb="7">
      <t>ケイサン</t>
    </rPh>
    <rPh sb="7" eb="9">
      <t>ケッカ</t>
    </rPh>
    <rPh sb="10" eb="13">
      <t>ジョウカゲン</t>
    </rPh>
    <rPh sb="14" eb="16">
      <t>ゲンシュ</t>
    </rPh>
    <phoneticPr fontId="1"/>
  </si>
  <si>
    <t>TRUE の場合、「ソルブ前に計算」は設定値にかかわらず TRUE と扱われ、拘束違反した場合ソルブを行いません。</t>
    <rPh sb="6" eb="8">
      <t>バアイ</t>
    </rPh>
    <rPh sb="13" eb="14">
      <t>マエ</t>
    </rPh>
    <rPh sb="15" eb="17">
      <t>ケイサン</t>
    </rPh>
    <rPh sb="19" eb="22">
      <t>セッテイチ</t>
    </rPh>
    <rPh sb="35" eb="36">
      <t>アツカ</t>
    </rPh>
    <rPh sb="39" eb="41">
      <t>コウソク</t>
    </rPh>
    <rPh sb="41" eb="43">
      <t>イハン</t>
    </rPh>
    <rPh sb="45" eb="47">
      <t>バアイ</t>
    </rPh>
    <rPh sb="51" eb="52">
      <t>オコナ</t>
    </rPh>
    <phoneticPr fontId="1"/>
  </si>
  <si>
    <t>FALSE の場合、拘束違反した場合でもソルブを行います。</t>
    <rPh sb="7" eb="9">
      <t>バアイ</t>
    </rPh>
    <rPh sb="10" eb="12">
      <t>コウソク</t>
    </rPh>
    <rPh sb="12" eb="14">
      <t>イハン</t>
    </rPh>
    <rPh sb="16" eb="18">
      <t>バアイ</t>
    </rPh>
    <rPh sb="24" eb="25">
      <t>オコナ</t>
    </rPh>
    <phoneticPr fontId="1"/>
  </si>
  <si>
    <t>ただし、最適化アルゴリズム内で拘束違反の解にはペナルティが課され、なるべく拘束違反する変数を提案しないようにします。</t>
    <rPh sb="37" eb="39">
      <t>コウソク</t>
    </rPh>
    <rPh sb="39" eb="41">
      <t>イハン</t>
    </rPh>
    <rPh sb="43" eb="45">
      <t>ヘンスウ</t>
    </rPh>
    <rPh sb="46" eb="48">
      <t>テイアン</t>
    </rPh>
    <phoneticPr fontId="1"/>
  </si>
  <si>
    <t>この拘束関数を最適化に使うかどうかです。デフォルトは TRUE です。</t>
    <rPh sb="2" eb="4">
      <t>コウソク</t>
    </rPh>
    <rPh sb="4" eb="6">
      <t>カンスウ</t>
    </rPh>
    <rPh sb="7" eb="10">
      <t>サイテキカ</t>
    </rPh>
    <rPh sb="11" eb="12">
      <t>ツカ</t>
    </rPh>
    <phoneticPr fontId="1"/>
  </si>
  <si>
    <t>ソルブ前に拘束関数を計算するかどうかです。</t>
    <rPh sb="3" eb="4">
      <t>マエ</t>
    </rPh>
    <rPh sb="5" eb="7">
      <t>コウソク</t>
    </rPh>
    <rPh sb="7" eb="9">
      <t>カンスウ</t>
    </rPh>
    <rPh sb="10" eb="12">
      <t>ケイサン</t>
    </rPh>
    <phoneticPr fontId="1"/>
  </si>
  <si>
    <t>各列に入れるべき値・デフォルト値（見出しの「＋」で展開）</t>
    <rPh sb="0" eb="2">
      <t>カクレツ</t>
    </rPh>
    <rPh sb="3" eb="4">
      <t>イ</t>
    </rPh>
    <rPh sb="8" eb="9">
      <t>アタイ</t>
    </rPh>
    <rPh sb="15" eb="16">
      <t>アタイ</t>
    </rPh>
    <rPh sb="17" eb="19">
      <t>ミダ</t>
    </rPh>
    <rPh sb="25" eb="27">
      <t>テンカイ</t>
    </rPh>
    <phoneticPr fontId="1"/>
  </si>
  <si>
    <t>シートのパース過程は以下の通りです。</t>
    <rPh sb="7" eb="9">
      <t>カテイ</t>
    </rPh>
    <phoneticPr fontId="1"/>
  </si>
  <si>
    <t>interface_kwargs:</t>
  </si>
  <si>
    <t>optimizer_kwargs:</t>
  </si>
  <si>
    <t>femopt_kwargs:</t>
  </si>
  <si>
    <t>optimize_kwargs:</t>
  </si>
  <si>
    <t>interface_class:</t>
  </si>
  <si>
    <t>femprj_path:</t>
  </si>
  <si>
    <t>optimizer_class:</t>
  </si>
  <si>
    <t>OptunaOptimizer</t>
  </si>
  <si>
    <t>sampler_class:</t>
  </si>
  <si>
    <t>sampler_kwargs:</t>
  </si>
  <si>
    <t>n_startup_trials:</t>
  </si>
  <si>
    <t>history_path:</t>
  </si>
  <si>
    <t>n_trials:</t>
  </si>
  <si>
    <t>confirm_before_exit:</t>
  </si>
  <si>
    <t>seed:</t>
  </si>
  <si>
    <t>model_name:</t>
    <phoneticPr fontId="1"/>
  </si>
  <si>
    <t>n_parallel:</t>
    <phoneticPr fontId="1"/>
  </si>
  <si>
    <t>timeout:</t>
    <phoneticPr fontId="1"/>
  </si>
  <si>
    <t># 固定</t>
    <rPh sb="2" eb="4">
      <t>コテイ</t>
    </rPh>
    <phoneticPr fontId="1"/>
  </si>
  <si>
    <t># Optional</t>
    <phoneticPr fontId="1"/>
  </si>
  <si>
    <t>PyFemtet による最適化の流れ</t>
    <rPh sb="12" eb="15">
      <t>サイテキカ</t>
    </rPh>
    <rPh sb="16" eb="17">
      <t>ナガ</t>
    </rPh>
    <phoneticPr fontId="1"/>
  </si>
  <si>
    <t>PyFemtet による最適化の流れは以下の通りです。</t>
    <rPh sb="12" eb="15">
      <t>サイテキカ</t>
    </rPh>
    <rPh sb="16" eb="17">
      <t>ナガ</t>
    </rPh>
    <rPh sb="19" eb="21">
      <t>イカ</t>
    </rPh>
    <rPh sb="22" eb="23">
      <t>トオ</t>
    </rPh>
    <phoneticPr fontId="1"/>
  </si>
  <si>
    <t>1. 新しい設計変数を提案する(又は初期値)</t>
    <phoneticPr fontId="1"/>
  </si>
  <si>
    <t>2. 「厳密な拘束関数」を評価する</t>
    <rPh sb="4" eb="6">
      <t>ゲンミツ</t>
    </rPh>
    <rPh sb="7" eb="9">
      <t>コウソク</t>
    </rPh>
    <rPh sb="9" eb="11">
      <t>カンスウ</t>
    </rPh>
    <rPh sb="13" eb="15">
      <t>ヒョウカ</t>
    </rPh>
    <phoneticPr fontId="1"/>
  </si>
  <si>
    <t>3. 拘束違反が合った場合、1 に戻る</t>
    <rPh sb="3" eb="5">
      <t>コウソク</t>
    </rPh>
    <rPh sb="5" eb="7">
      <t>イハン</t>
    </rPh>
    <rPh sb="8" eb="9">
      <t>ア</t>
    </rPh>
    <rPh sb="11" eb="13">
      <t>バアイ</t>
    </rPh>
    <rPh sb="17" eb="18">
      <t>モド</t>
    </rPh>
    <phoneticPr fontId="1"/>
  </si>
  <si>
    <t>4. モデルを再構築し解析を実行する</t>
    <rPh sb="7" eb="10">
      <t>サイコウチク</t>
    </rPh>
    <rPh sb="11" eb="13">
      <t>カイセキ</t>
    </rPh>
    <rPh sb="14" eb="16">
      <t>ジッコウ</t>
    </rPh>
    <phoneticPr fontId="1"/>
  </si>
  <si>
    <t>5. 4. の過程にエラーがあれば 1 に戻る</t>
    <rPh sb="7" eb="9">
      <t>カテイ</t>
    </rPh>
    <rPh sb="21" eb="22">
      <t>モド</t>
    </rPh>
    <phoneticPr fontId="1"/>
  </si>
  <si>
    <t>6. 目的関数を評価する</t>
    <rPh sb="3" eb="5">
      <t>モクテキ</t>
    </rPh>
    <rPh sb="5" eb="7">
      <t>カンスウ</t>
    </rPh>
    <rPh sb="8" eb="10">
      <t>ヒョウカ</t>
    </rPh>
    <phoneticPr fontId="1"/>
  </si>
  <si>
    <t>7. 「厳密な拘束関数」以外の拘束を評価する</t>
    <rPh sb="4" eb="6">
      <t>ゲンミツ</t>
    </rPh>
    <rPh sb="7" eb="9">
      <t>コウソク</t>
    </rPh>
    <rPh sb="9" eb="11">
      <t>カンスウ</t>
    </rPh>
    <rPh sb="12" eb="14">
      <t>イガイ</t>
    </rPh>
    <rPh sb="15" eb="17">
      <t>コウソク</t>
    </rPh>
    <rPh sb="18" eb="20">
      <t>ヒョウカ</t>
    </rPh>
    <phoneticPr fontId="1"/>
  </si>
  <si>
    <t>8. 設計変数と目的関数、拘束関数の値の履歴を考慮し、新しい設計変数を提案する（= 1 に戻る）</t>
    <rPh sb="3" eb="5">
      <t>セッケイ</t>
    </rPh>
    <rPh sb="5" eb="7">
      <t>ヘンスウ</t>
    </rPh>
    <rPh sb="8" eb="10">
      <t>モクテキ</t>
    </rPh>
    <rPh sb="10" eb="12">
      <t>カンスウ</t>
    </rPh>
    <rPh sb="13" eb="15">
      <t>コウソク</t>
    </rPh>
    <rPh sb="15" eb="17">
      <t>カンスウ</t>
    </rPh>
    <rPh sb="18" eb="19">
      <t>アタイ</t>
    </rPh>
    <rPh sb="20" eb="22">
      <t>リレキ</t>
    </rPh>
    <rPh sb="23" eb="25">
      <t>コウリョ</t>
    </rPh>
    <rPh sb="27" eb="28">
      <t>アタラ</t>
    </rPh>
    <rPh sb="30" eb="32">
      <t>セッケイ</t>
    </rPh>
    <rPh sb="32" eb="34">
      <t>ヘンスウ</t>
    </rPh>
    <rPh sb="35" eb="37">
      <t>テイアン</t>
    </rPh>
    <rPh sb="45" eb="46">
      <t>モド</t>
    </rPh>
    <phoneticPr fontId="1"/>
  </si>
  <si>
    <t>このように 1~8 の過程を繰り返すことで、目的関数が所望の値になるような設計変数を探索します。</t>
    <rPh sb="11" eb="13">
      <t>カテイ</t>
    </rPh>
    <rPh sb="14" eb="15">
      <t>ク</t>
    </rPh>
    <rPh sb="16" eb="17">
      <t>カエ</t>
    </rPh>
    <rPh sb="22" eb="24">
      <t>モクテキ</t>
    </rPh>
    <rPh sb="24" eb="26">
      <t>カンスウ</t>
    </rPh>
    <rPh sb="27" eb="29">
      <t>ショモウ</t>
    </rPh>
    <rPh sb="30" eb="31">
      <t>アタイ</t>
    </rPh>
    <rPh sb="37" eb="39">
      <t>セッケイ</t>
    </rPh>
    <rPh sb="39" eb="41">
      <t>ヘンスウ</t>
    </rPh>
    <rPh sb="42" eb="44">
      <t>タンサク</t>
    </rPh>
    <phoneticPr fontId="1"/>
  </si>
  <si>
    <t>初期ランダム試行数</t>
    <rPh sb="0" eb="2">
      <t>ショキ</t>
    </rPh>
    <rPh sb="6" eb="8">
      <t>シコウ</t>
    </rPh>
    <rPh sb="8" eb="9">
      <t>スウ</t>
    </rPh>
    <phoneticPr fontId="1"/>
  </si>
  <si>
    <t>input_xlsm_path:</t>
    <phoneticPr fontId="1"/>
  </si>
  <si>
    <t>input_sheet_name:</t>
    <phoneticPr fontId="1"/>
  </si>
  <si>
    <t># 固定</t>
    <rPh sb="2" eb="4">
      <t>コテイ</t>
    </rPh>
    <phoneticPr fontId="1"/>
  </si>
  <si>
    <t>RandomSampler</t>
    <phoneticPr fontId="1"/>
  </si>
  <si>
    <t>結果 csv 名</t>
    <rPh sb="0" eb="2">
      <t>ケッカ</t>
    </rPh>
    <rPh sb="7" eb="8">
      <t>メイ</t>
    </rPh>
    <phoneticPr fontId="1"/>
  </si>
  <si>
    <t>Python 実行環境</t>
    <rPh sb="7" eb="9">
      <t>ジッコウ</t>
    </rPh>
    <rPh sb="9" eb="11">
      <t>カンキョウ</t>
    </rPh>
    <phoneticPr fontId="1"/>
  </si>
  <si>
    <t>実行パス</t>
    <rPh sb="0" eb="2">
      <t>ジッコウ</t>
    </rPh>
    <phoneticPr fontId="1"/>
  </si>
  <si>
    <t>このファイルの場所からの相対パス</t>
    <rPh sb="7" eb="9">
      <t>バショ</t>
    </rPh>
    <rPh sb="12" eb="14">
      <t>ソウタイ</t>
    </rPh>
    <phoneticPr fontId="1"/>
  </si>
  <si>
    <t>procedure_name:</t>
    <phoneticPr fontId="1"/>
  </si>
  <si>
    <t>インストールできている場合、下記の画面が表示されます。</t>
    <rPh sb="11" eb="13">
      <t>バアイ</t>
    </rPh>
    <rPh sb="14" eb="16">
      <t>カキ</t>
    </rPh>
    <rPh sb="17" eb="19">
      <t>ガメン</t>
    </rPh>
    <rPh sb="20" eb="22">
      <t>ヒョウジ</t>
    </rPh>
    <phoneticPr fontId="1"/>
  </si>
  <si>
    <t>付属 Python 環境とは：</t>
    <rPh sb="0" eb="2">
      <t>フゾク</t>
    </rPh>
    <rPh sb="10" eb="12">
      <t>カンキョウ</t>
    </rPh>
    <phoneticPr fontId="1"/>
  </si>
  <si>
    <t>&lt;この Excel のあるフォルダ&gt;\Python\python-3.12.9-embed-amd64 フォルダにある Python 環境です。</t>
    <rPh sb="67" eb="69">
      <t>カンキョウ</t>
    </rPh>
    <phoneticPr fontId="1"/>
  </si>
  <si>
    <t>「実行設定」シートで既存の Python 環境を指定している場合は左の操作は不要です。</t>
    <rPh sb="1" eb="3">
      <t>ジッコウ</t>
    </rPh>
    <rPh sb="3" eb="5">
      <t>セッテイ</t>
    </rPh>
    <rPh sb="10" eb="12">
      <t>キゾン</t>
    </rPh>
    <rPh sb="21" eb="23">
      <t>カンキョウ</t>
    </rPh>
    <rPh sb="24" eb="26">
      <t>シテイ</t>
    </rPh>
    <rPh sb="30" eb="32">
      <t>バアイ</t>
    </rPh>
    <rPh sb="33" eb="34">
      <t>ヒダリ</t>
    </rPh>
    <rPh sb="35" eb="37">
      <t>ソウサ</t>
    </rPh>
    <rPh sb="38" eb="40">
      <t>フヨウ</t>
    </rPh>
    <phoneticPr fontId="1"/>
  </si>
  <si>
    <t>空欄の場合「付属の Python 環境」を使用
詳細は「インストール」シートを参照のこと。</t>
    <rPh sb="0" eb="2">
      <t>クウラン</t>
    </rPh>
    <rPh sb="3" eb="5">
      <t>バアイ</t>
    </rPh>
    <rPh sb="6" eb="8">
      <t>フゾク</t>
    </rPh>
    <rPh sb="17" eb="19">
      <t>カンキョウ</t>
    </rPh>
    <rPh sb="21" eb="23">
      <t>シヨウ</t>
    </rPh>
    <rPh sb="24" eb="26">
      <t>ショウサイ</t>
    </rPh>
    <rPh sb="39" eb="41">
      <t>サンショウ</t>
    </rPh>
    <phoneticPr fontId="1"/>
  </si>
  <si>
    <t>「インストール」シートからインストールを行うことで、</t>
    <rPh sb="20" eb="21">
      <t>オコナ</t>
    </rPh>
    <phoneticPr fontId="1"/>
  </si>
  <si>
    <t>Excel と一緒に配布している付属の Python 環境を使うこともできます。</t>
    <rPh sb="7" eb="9">
      <t>イッショ</t>
    </rPh>
    <rPh sb="10" eb="12">
      <t>ハイフ</t>
    </rPh>
    <rPh sb="16" eb="18">
      <t>フゾク</t>
    </rPh>
    <rPh sb="27" eb="29">
      <t>カンキョウ</t>
    </rPh>
    <rPh sb="30" eb="31">
      <t>ツカ</t>
    </rPh>
    <phoneticPr fontId="1"/>
  </si>
  <si>
    <t>目的関数または
拘束関数を定義した
python ファイル</t>
    <phoneticPr fontId="1"/>
  </si>
  <si>
    <t>python ファイルを指定した場合、その内容をロード。
ただし、書式は右記の注意を参照</t>
    <rPh sb="36" eb="38">
      <t>ウキ</t>
    </rPh>
    <phoneticPr fontId="1"/>
  </si>
  <si>
    <t>目的名</t>
    <rPh sb="0" eb="2">
      <t>モクテキ</t>
    </rPh>
    <rPh sb="2" eb="3">
      <t>メイ</t>
    </rPh>
    <phoneticPr fontId="1"/>
  </si>
  <si>
    <t>目標</t>
    <rPh sb="0" eb="2">
      <t>モクヒョウ</t>
    </rPh>
    <phoneticPr fontId="1"/>
  </si>
  <si>
    <t>使用</t>
    <rPh sb="0" eb="2">
      <t>シヨウ</t>
    </rPh>
    <phoneticPr fontId="1"/>
  </si>
  <si>
    <t>PyFemtet 0.8.11 以上をインストールされた Python 環境</t>
    <rPh sb="16" eb="18">
      <t>イジョウ</t>
    </rPh>
    <rPh sb="36" eb="38">
      <t>カンキョウ</t>
    </rPh>
    <phoneticPr fontId="1"/>
  </si>
  <si>
    <t>目的関数</t>
    <rPh sb="0" eb="2">
      <t>モクテキ</t>
    </rPh>
    <rPh sb="2" eb="4">
      <t>カンスウ</t>
    </rPh>
    <phoneticPr fontId="1"/>
  </si>
  <si>
    <t>拘束関数</t>
    <rPh sb="0" eb="2">
      <t>コウソク</t>
    </rPh>
    <rPh sb="2" eb="4">
      <t>カンスウ</t>
    </rPh>
    <phoneticPr fontId="1"/>
  </si>
  <si>
    <t>拘束名</t>
    <rPh sb="0" eb="2">
      <t>コウソク</t>
    </rPh>
    <rPh sb="2" eb="3">
      <t>メイ</t>
    </rPh>
    <phoneticPr fontId="1"/>
  </si>
  <si>
    <t>厳守</t>
    <rPh sb="0" eb="2">
      <t>ゲンシュ</t>
    </rPh>
    <phoneticPr fontId="1"/>
  </si>
  <si>
    <t>パラメトリック結果出力1</t>
    <rPh sb="7" eb="9">
      <t>ケッカ</t>
    </rPh>
    <rPh sb="9" eb="11">
      <t>シュツリョク</t>
    </rPh>
    <phoneticPr fontId="1"/>
  </si>
  <si>
    <t>拘束1</t>
    <rPh sb="0" eb="2">
      <t>コウソク</t>
    </rPh>
    <phoneticPr fontId="1"/>
  </si>
  <si>
    <t>拘束2</t>
    <rPh sb="0" eb="2">
      <t>コウソク</t>
    </rPh>
    <phoneticPr fontId="1"/>
  </si>
  <si>
    <t>minimize</t>
    <phoneticPr fontId="1"/>
  </si>
  <si>
    <t>FemtetWithExcelSettingsInterface</t>
    <phoneticPr fontId="1"/>
  </si>
  <si>
    <t>最適化セットアップ</t>
    <rPh sb="0" eb="3">
      <t>サイテキカ</t>
    </rPh>
    <phoneticPr fontId="1"/>
  </si>
  <si>
    <t>additional_module_paths:</t>
    <phoneticPr fontId="1"/>
  </si>
  <si>
    <t>output_xlsm_path:</t>
    <phoneticPr fontId="1"/>
  </si>
  <si>
    <t>output_sheet_name:</t>
    <phoneticPr fontId="1"/>
  </si>
  <si>
    <t>procedure_args:</t>
    <phoneticPr fontId="1"/>
  </si>
  <si>
    <t>setup_xlsm_path:</t>
    <phoneticPr fontId="1"/>
  </si>
  <si>
    <t>setup_procedure_name:</t>
    <phoneticPr fontId="1"/>
  </si>
  <si>
    <t>setup_procedure_args:</t>
    <phoneticPr fontId="1"/>
  </si>
  <si>
    <t>teardown_xlsm_path:</t>
    <phoneticPr fontId="1"/>
  </si>
  <si>
    <t>teardown_procedure_args:</t>
    <phoneticPr fontId="1"/>
  </si>
  <si>
    <t>teardown_procedure_name:</t>
    <phoneticPr fontId="1"/>
  </si>
  <si>
    <t>related_file_paths:</t>
    <phoneticPr fontId="1"/>
  </si>
  <si>
    <t>null</t>
    <phoneticPr fontId="1"/>
  </si>
  <si>
    <t>constraint_xlsm_path:</t>
    <phoneticPr fontId="1"/>
  </si>
  <si>
    <t>constraint_sheet_name:</t>
    <phoneticPr fontId="1"/>
  </si>
  <si>
    <t>このシートを編集する際は、「最適化セットアップシートの書式説明」のフォーマット説明を呼んで</t>
    <rPh sb="6" eb="8">
      <t>ヘンシュウ</t>
    </rPh>
    <rPh sb="10" eb="11">
      <t>サイ</t>
    </rPh>
    <rPh sb="14" eb="17">
      <t>サイテキカ</t>
    </rPh>
    <rPh sb="27" eb="29">
      <t>ショシキ</t>
    </rPh>
    <rPh sb="29" eb="31">
      <t>セツメイ</t>
    </rPh>
    <rPh sb="39" eb="41">
      <t>セツメイ</t>
    </rPh>
    <rPh sb="42" eb="43">
      <t>ヨ</t>
    </rPh>
    <phoneticPr fontId="1"/>
  </si>
  <si>
    <t>表の編集をしてください。</t>
    <rPh sb="0" eb="1">
      <t>ヒョウ</t>
    </rPh>
    <rPh sb="2" eb="4">
      <t>ヘンシュウ</t>
    </rPh>
    <phoneticPr fontId="1"/>
  </si>
  <si>
    <t>Optional</t>
    <phoneticPr fontId="1"/>
  </si>
  <si>
    <t>メインマクロ関数名</t>
    <rPh sb="6" eb="8">
      <t>カンスウ</t>
    </rPh>
    <rPh sb="8" eb="9">
      <t>メイ</t>
    </rPh>
    <phoneticPr fontId="1"/>
  </si>
  <si>
    <t>Optional: 最適化の各試行のたびに実行したいマクロ関数名</t>
    <rPh sb="10" eb="13">
      <t>サイテキカ</t>
    </rPh>
    <rPh sb="14" eb="15">
      <t>カク</t>
    </rPh>
    <rPh sb="15" eb="17">
      <t>シコウ</t>
    </rPh>
    <rPh sb="21" eb="23">
      <t>ジッコウ</t>
    </rPh>
    <rPh sb="29" eb="31">
      <t>カンスウ</t>
    </rPh>
    <rPh sb="31" eb="32">
      <t>メイ</t>
    </rPh>
    <phoneticPr fontId="1"/>
  </si>
  <si>
    <t>セットアップマクロ関数名</t>
    <rPh sb="9" eb="12">
      <t>カンスウメイ</t>
    </rPh>
    <phoneticPr fontId="1"/>
  </si>
  <si>
    <t>Optional: 最適化全体の実行前に実行したいマクロ関数名</t>
    <rPh sb="10" eb="13">
      <t>サイテキカ</t>
    </rPh>
    <rPh sb="13" eb="15">
      <t>ゼンタイ</t>
    </rPh>
    <rPh sb="16" eb="18">
      <t>ジッコウ</t>
    </rPh>
    <rPh sb="18" eb="19">
      <t>マエ</t>
    </rPh>
    <rPh sb="20" eb="22">
      <t>ジッコウ</t>
    </rPh>
    <rPh sb="28" eb="31">
      <t>カンスウメイ</t>
    </rPh>
    <phoneticPr fontId="1"/>
  </si>
  <si>
    <t>終了マクロ関数名</t>
    <rPh sb="0" eb="2">
      <t>シュウリョウ</t>
    </rPh>
    <rPh sb="5" eb="8">
      <t>カンスウメイ</t>
    </rPh>
    <phoneticPr fontId="1"/>
  </si>
  <si>
    <t>Optional: 最適化終了時に実行したいマクロ関数名</t>
    <rPh sb="10" eb="13">
      <t>サイテキカ</t>
    </rPh>
    <rPh sb="13" eb="16">
      <t>シュウリョウジ</t>
    </rPh>
    <rPh sb="17" eb="19">
      <t>ジッコウ</t>
    </rPh>
    <rPh sb="25" eb="28">
      <t>カンスウメイ</t>
    </rPh>
    <phoneticPr fontId="1"/>
  </si>
  <si>
    <t>最適化手法</t>
    <rPh sb="0" eb="3">
      <t>サイテキカ</t>
    </rPh>
    <rPh sb="3" eb="5">
      <t>シュホウ</t>
    </rPh>
    <phoneticPr fontId="1"/>
  </si>
  <si>
    <t>RandomSampler, TPESampler, NSGAIISampler, PoFBoTorchSampler から選択</t>
    <rPh sb="62" eb="64">
      <t>センタク</t>
    </rPh>
    <phoneticPr fontId="1"/>
  </si>
  <si>
    <t>1世代あたり個体数</t>
    <rPh sb="1" eb="3">
      <t>セダイ</t>
    </rPh>
    <rPh sb="6" eb="9">
      <t>コタイスウ</t>
    </rPh>
    <phoneticPr fontId="1"/>
  </si>
  <si>
    <t>1 世代あたりの個体数。NSGAIISampler の場合に使用。</t>
    <rPh sb="2" eb="4">
      <t>セダイ</t>
    </rPh>
    <rPh sb="8" eb="11">
      <t>コタイスウ</t>
    </rPh>
    <rPh sb="27" eb="29">
      <t>バアイ</t>
    </rPh>
    <rPh sb="30" eb="32">
      <t>シヨウ</t>
    </rPh>
    <phoneticPr fontId="1"/>
  </si>
  <si>
    <t>初期ランダム試行数。TPESampler, PoFBoTorchSampler の場合に使用。</t>
    <rPh sb="0" eb="2">
      <t>ショキ</t>
    </rPh>
    <rPh sb="6" eb="8">
      <t>シコウ</t>
    </rPh>
    <rPh sb="8" eb="9">
      <t>スウ</t>
    </rPh>
    <rPh sb="41" eb="43">
      <t>バアイ</t>
    </rPh>
    <rPh sb="44" eb="46">
      <t>シヨウ</t>
    </rPh>
    <phoneticPr fontId="1"/>
  </si>
  <si>
    <t>Optional: このファイルの場所からの相対パス。
存在するファイルを指定した場合は続きから。
ただしその場合、最適化のセットアップシートを変更しないこと。</t>
    <rPh sb="17" eb="19">
      <t>バショ</t>
    </rPh>
    <rPh sb="22" eb="24">
      <t>ソウタイ</t>
    </rPh>
    <rPh sb="28" eb="30">
      <t>ソンザイ</t>
    </rPh>
    <rPh sb="37" eb="39">
      <t>シテイ</t>
    </rPh>
    <rPh sb="41" eb="43">
      <t>バアイ</t>
    </rPh>
    <rPh sb="44" eb="45">
      <t>ツヅ</t>
    </rPh>
    <rPh sb="55" eb="57">
      <t>バアイ</t>
    </rPh>
    <rPh sb="58" eb="61">
      <t>サイテキカ</t>
    </rPh>
    <rPh sb="72" eb="74">
      <t>ヘンコウ</t>
    </rPh>
    <phoneticPr fontId="1"/>
  </si>
  <si>
    <t>population_size:</t>
    <phoneticPr fontId="1"/>
  </si>
  <si>
    <t>PoFBoTorchInterfaceWithExcelSettingsInterface</t>
    <phoneticPr fontId="1"/>
  </si>
  <si>
    <t>history_path:</t>
    <phoneticPr fontId="1"/>
  </si>
  <si>
    <t>null</t>
    <phoneticPr fontId="1"/>
  </si>
  <si>
    <t>サロゲート最適化</t>
    <rPh sb="5" eb="8">
      <t>サイテキカ</t>
    </rPh>
    <phoneticPr fontId="1"/>
  </si>
  <si>
    <t>訓練データ csv 名</t>
    <rPh sb="0" eb="2">
      <t>クンレン</t>
    </rPh>
    <rPh sb="10" eb="11">
      <t>メイ</t>
    </rPh>
    <phoneticPr fontId="1"/>
  </si>
  <si>
    <t>モデルを作るもとにしたい結果 csv 名を指定</t>
    <rPh sb="4" eb="5">
      <t>ツク</t>
    </rPh>
    <rPh sb="12" eb="14">
      <t>ケッカ</t>
    </rPh>
    <rPh sb="19" eb="20">
      <t>メイ</t>
    </rPh>
    <rPh sb="21" eb="23">
      <t>シテイ</t>
    </rPh>
    <phoneticPr fontId="1"/>
  </si>
  <si>
    <t>最適化セットアップ2</t>
    <rPh sb="0" eb="3">
      <t>サイテキカ</t>
    </rPh>
    <phoneticPr fontId="1"/>
  </si>
  <si>
    <t>PrePostModule.LaunchFemtet</t>
    <phoneticPr fontId="1"/>
  </si>
  <si>
    <t>PrePostModule.ExitFemtet</t>
    <phoneticPr fontId="1"/>
  </si>
  <si>
    <t>coil_radius</t>
  </si>
  <si>
    <t>n_turns</t>
  </si>
  <si>
    <t>e:\pyfemtet\pyfemtet\.venv\scripts\python.exe</t>
    <phoneticPr fontId="1"/>
  </si>
  <si>
    <t>sample\sample.femprj</t>
    <phoneticPr fontId="1"/>
  </si>
  <si>
    <t>sample\sample.csv</t>
    <phoneticPr fontId="1"/>
  </si>
  <si>
    <t>マクロを用いない最適化</t>
    <rPh sb="4" eb="5">
      <t>モチ</t>
    </rPh>
    <rPh sb="8" eb="11">
      <t>サイテキカ</t>
    </rPh>
    <phoneticPr fontId="1"/>
  </si>
  <si>
    <t>マクロを用いる最適化</t>
    <rPh sb="4" eb="5">
      <t>モチ</t>
    </rPh>
    <rPh sb="7" eb="10">
      <t>サイテキカ</t>
    </rPh>
    <phoneticPr fontId="1"/>
  </si>
  <si>
    <t>maximize</t>
    <phoneticPr fontId="1"/>
  </si>
  <si>
    <t>ExcelInterface</t>
    <phoneticPr fontId="1"/>
  </si>
  <si>
    <t>自己インダクタンス[H]（3次元解析） / Coil - Coil_InAuto - Coil_OutAuto</t>
    <rPh sb="0" eb="2">
      <t>ジコ</t>
    </rPh>
    <rPh sb="14" eb="16">
      <t>ジゲン</t>
    </rPh>
    <rPh sb="16" eb="18">
      <t>カイセキ</t>
    </rPh>
    <phoneticPr fontId="1"/>
  </si>
  <si>
    <t>sample\surrogate_sample.csv</t>
    <phoneticPr fontId="1"/>
  </si>
  <si>
    <t>TPESampler</t>
    <phoneticPr fontId="1"/>
  </si>
  <si>
    <t>PoFBoTorchSampler</t>
    <phoneticPr fontId="1"/>
  </si>
  <si>
    <t>FemtetMacro.SamplingResult 内の Sheet6.Range("E13").Value = ResultMax で更新</t>
    <rPh sb="27" eb="28">
      <t>ナイ</t>
    </rPh>
    <rPh sb="69" eb="71">
      <t>コウシン</t>
    </rPh>
    <phoneticPr fontId="1"/>
  </si>
  <si>
    <t>sample\macro_sample.csv</t>
    <phoneticPr fontId="1"/>
  </si>
  <si>
    <t>最適化セットアップ3</t>
    <rPh sb="0" eb="3">
      <t>サイテキカ</t>
    </rPh>
    <phoneticPr fontId="1"/>
  </si>
  <si>
    <t>FemtetMacro.InitVariables の coil_radius = Sheet6.Range("E5").Value で読み取り（更新は PyFemtet が行う）</t>
    <rPh sb="68" eb="69">
      <t>ヨ</t>
    </rPh>
    <rPh sb="70" eb="71">
      <t>ト</t>
    </rPh>
    <rPh sb="73" eb="75">
      <t>コウシン</t>
    </rPh>
    <rPh sb="87" eb="88">
      <t>オコナ</t>
    </rPh>
    <phoneticPr fontId="1"/>
  </si>
  <si>
    <t>FemtetMacro.FemtetMain</t>
    <phoneticPr fontId="1"/>
  </si>
  <si>
    <t>マクロ出力</t>
    <rPh sb="3" eb="5">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</si>
</sst>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9"/>
      <color theme="1"/>
      <name val="PlemolJP Text"/>
      <family val="2"/>
      <charset val="128"/>
      <scheme val="minor"/>
    </font>
    <font>
      <sz val="6"/>
      <name val="PlemolJP Text"/>
      <family val="2"/>
      <charset val="128"/>
      <scheme val="minor"/>
    </font>
    <font>
      <b/>
      <sz val="15"/>
      <color theme="3"/>
      <name val="PlemolJP Text"/>
      <family val="2"/>
      <charset val="128"/>
      <scheme val="minor"/>
    </font>
    <font>
      <b/>
      <sz val="11"/>
      <color theme="3"/>
      <name val="PlemolJP Text"/>
      <family val="2"/>
      <charset val="128"/>
      <scheme val="minor"/>
    </font>
    <font>
      <sz val="9"/>
      <color rgb="FF000000"/>
      <name val="ＭＳ ゴシック"/>
      <family val="3"/>
      <charset val="128"/>
    </font>
    <font>
      <sz val="18"/>
      <color rgb="FF000000"/>
      <name val="Arial Black"/>
      <family val="2"/>
    </font>
    <font>
      <sz val="18"/>
      <color rgb="FF000000"/>
      <name val="PlemolJP Text"/>
      <family val="3"/>
      <charset val="128"/>
    </font>
    <font>
      <sz val="9"/>
      <color theme="0"/>
      <name val="PlemolJP Text"/>
      <family val="3"/>
      <charset val="128"/>
      <scheme val="minor"/>
    </font>
    <font>
      <sz val="9"/>
      <color theme="0"/>
      <name val="PlemolJP Text"/>
      <family val="2"/>
      <charset val="128"/>
      <scheme val="minor"/>
    </font>
    <font>
      <sz val="11"/>
      <color rgb="FF9C5700"/>
      <name val="PlemolJP Text"/>
      <family val="2"/>
      <charset val="128"/>
      <scheme val="minor"/>
    </font>
  </fonts>
  <fills count="6">
    <fill>
      <patternFill patternType="none"/>
    </fill>
    <fill>
      <patternFill patternType="gray125"/>
    </fill>
    <fill>
      <patternFill patternType="solid">
        <fgColor theme="2" tint="-0.749992370372631"/>
        <bgColor indexed="64"/>
      </patternFill>
    </fill>
    <fill>
      <patternFill patternType="solid">
        <fgColor theme="1" tint="0.14999847407452621"/>
        <bgColor indexed="64"/>
      </patternFill>
    </fill>
    <fill>
      <patternFill patternType="solid">
        <fgColor theme="1"/>
        <bgColor indexed="64"/>
      </patternFill>
    </fill>
    <fill>
      <patternFill patternType="solid">
        <fgColor rgb="FFFFEB9C"/>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medium">
        <color theme="4" tint="0.39997558519241921"/>
      </bottom>
      <diagonal/>
    </border>
  </borders>
  <cellStyleXfs count="4">
    <xf numFmtId="0" fontId="0" fillId="0" borderId="0">
      <alignment vertical="center"/>
    </xf>
    <xf numFmtId="0" fontId="2" fillId="0" borderId="2" applyNumberFormat="0" applyFill="0" applyAlignment="0" applyProtection="0">
      <alignment vertical="center"/>
    </xf>
    <xf numFmtId="0" fontId="3" fillId="0" borderId="3" applyNumberFormat="0" applyFill="0" applyAlignment="0" applyProtection="0">
      <alignment vertical="center"/>
    </xf>
    <xf numFmtId="0" fontId="9" fillId="5" borderId="0" applyNumberFormat="0" applyBorder="0" applyAlignment="0" applyProtection="0">
      <alignment vertical="center"/>
    </xf>
  </cellStyleXfs>
  <cellXfs count="16">
    <xf numFmtId="0" fontId="0" fillId="0" borderId="0" xfId="0">
      <alignment vertical="center"/>
    </xf>
    <xf numFmtId="0" fontId="2" fillId="0" borderId="2" xfId="1">
      <alignment vertical="center"/>
    </xf>
    <xf numFmtId="0" fontId="3" fillId="0" borderId="3" xfId="2">
      <alignment vertical="center"/>
    </xf>
    <xf numFmtId="0" fontId="0" fillId="0" borderId="0" xfId="0" applyAlignment="1">
      <alignment vertical="center"/>
    </xf>
    <xf numFmtId="0" fontId="0" fillId="0" borderId="1" xfId="0" applyBorder="1">
      <alignment vertical="center"/>
    </xf>
    <xf numFmtId="0" fontId="8" fillId="2" borderId="0" xfId="0" applyFont="1" applyFill="1" applyBorder="1" applyAlignment="1">
      <alignment horizontal="left" vertical="center"/>
    </xf>
    <xf numFmtId="0" fontId="8" fillId="3" borderId="0" xfId="0" applyFont="1" applyFill="1" applyBorder="1" applyAlignment="1">
      <alignment horizontal="left" vertical="center"/>
    </xf>
    <xf numFmtId="0" fontId="8" fillId="4" borderId="0" xfId="0" applyFont="1" applyFill="1" applyBorder="1" applyAlignment="1">
      <alignment horizontal="left" vertical="center"/>
    </xf>
    <xf numFmtId="0" fontId="7" fillId="3" borderId="0" xfId="0" quotePrefix="1" applyFont="1" applyFill="1"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wrapText="1"/>
    </xf>
    <xf numFmtId="0" fontId="9" fillId="5" borderId="1" xfId="3" applyBorder="1" applyAlignment="1">
      <alignment horizontal="center" vertical="center"/>
    </xf>
    <xf numFmtId="0" fontId="9" fillId="5" borderId="1" xfId="3" applyBorder="1">
      <alignment vertical="center"/>
    </xf>
    <xf numFmtId="0" fontId="0" fillId="0" borderId="0" xfId="0" applyBorder="1" applyAlignment="1">
      <alignment horizontal="center" vertical="center"/>
    </xf>
    <xf numFmtId="0" fontId="0" fillId="0" borderId="0" xfId="0" applyBorder="1">
      <alignment vertical="center"/>
    </xf>
  </cellXfs>
  <cellStyles count="4">
    <cellStyle name="どちらでもない" xfId="3" builtinId="28"/>
    <cellStyle name="見出し 1" xfId="1" builtinId="16"/>
    <cellStyle name="見出し 3" xfId="2" builtinId="18"/>
    <cellStyle name="標準"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320040</xdr:colOff>
          <xdr:row>2</xdr:row>
          <xdr:rowOff>137160</xdr:rowOff>
        </xdr:from>
        <xdr:to>
          <xdr:col>9</xdr:col>
          <xdr:colOff>304800</xdr:colOff>
          <xdr:row>11</xdr:row>
          <xdr:rowOff>129540</xdr:rowOff>
        </xdr:to>
        <xdr:sp macro="" textlink="">
          <xdr:nvSpPr>
            <xdr:cNvPr id="7169" name="pipインストール"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800" b="0" i="0" u="none" strike="noStrike" baseline="0">
                  <a:solidFill>
                    <a:srgbClr val="000000"/>
                  </a:solidFill>
                  <a:latin typeface="PlemolJP Text"/>
                  <a:ea typeface="PlemolJP Text"/>
                  <a:cs typeface="PlemolJP Text"/>
                </a:rPr>
                <a:t>付属</a:t>
              </a:r>
              <a:r>
                <a:rPr lang="ja-JP" altLang="en-US" sz="1800" b="0" i="0" u="none" strike="noStrike" baseline="0">
                  <a:solidFill>
                    <a:srgbClr val="000000"/>
                  </a:solidFill>
                  <a:latin typeface="Arial Black"/>
                  <a:ea typeface="PlemolJP Text"/>
                  <a:cs typeface="PlemolJP Text"/>
                </a:rPr>
                <a:t> Python </a:t>
              </a:r>
              <a:r>
                <a:rPr lang="ja-JP" altLang="en-US" sz="1800" b="0" i="0" u="none" strike="noStrike" baseline="0">
                  <a:solidFill>
                    <a:srgbClr val="000000"/>
                  </a:solidFill>
                  <a:latin typeface="PlemolJP Text"/>
                  <a:ea typeface="PlemolJP Text"/>
                  <a:cs typeface="PlemolJP Text"/>
                </a:rPr>
                <a:t>環境に</a:t>
              </a:r>
              <a:endParaRPr lang="ja-JP" altLang="en-US" sz="1800" b="0" i="0" u="none" strike="noStrike" baseline="0">
                <a:solidFill>
                  <a:srgbClr val="000000"/>
                </a:solidFill>
                <a:latin typeface="Arial Black"/>
                <a:ea typeface="PlemolJP Text"/>
                <a:cs typeface="PlemolJP Text"/>
              </a:endParaRPr>
            </a:p>
            <a:p>
              <a:pPr algn="ctr" rtl="0">
                <a:defRPr sz="1000"/>
              </a:pPr>
              <a:r>
                <a:rPr lang="ja-JP" altLang="en-US" sz="1800" b="0" i="0" u="none" strike="noStrike" baseline="0">
                  <a:solidFill>
                    <a:srgbClr val="000000"/>
                  </a:solidFill>
                  <a:latin typeface="Arial Black"/>
                </a:rPr>
                <a:t>PyFemtet </a:t>
              </a:r>
              <a:r>
                <a:rPr lang="ja-JP" altLang="en-US" sz="1800" b="0" i="0" u="none" strike="noStrike" baseline="0">
                  <a:solidFill>
                    <a:srgbClr val="000000"/>
                  </a:solidFill>
                  <a:latin typeface="PlemolJP Text"/>
                  <a:ea typeface="PlemolJP Text"/>
                  <a:cs typeface="PlemolJP Text"/>
                </a:rPr>
                <a:t>をインストール</a:t>
              </a:r>
            </a:p>
          </xdr:txBody>
        </xdr:sp>
        <xdr:clientData fPrintsWithSheet="0"/>
      </xdr:twoCellAnchor>
    </mc:Choice>
    <mc:Fallback/>
  </mc:AlternateContent>
  <xdr:oneCellAnchor>
    <xdr:from>
      <xdr:col>1</xdr:col>
      <xdr:colOff>381000</xdr:colOff>
      <xdr:row>14</xdr:row>
      <xdr:rowOff>22860</xdr:rowOff>
    </xdr:from>
    <xdr:ext cx="7731604" cy="1376018"/>
    <xdr:sp macro="" textlink="">
      <xdr:nvSpPr>
        <xdr:cNvPr id="2" name="テキスト ボックス 1">
          <a:extLst>
            <a:ext uri="{FF2B5EF4-FFF2-40B4-BE49-F238E27FC236}">
              <a16:creationId xmlns:a16="http://schemas.microsoft.com/office/drawing/2014/main" id="{E8A734C9-0806-6CF1-C6DB-03EF95C95A74}"/>
            </a:ext>
          </a:extLst>
        </xdr:cNvPr>
        <xdr:cNvSpPr txBox="1"/>
      </xdr:nvSpPr>
      <xdr:spPr>
        <a:xfrm>
          <a:off x="929640" y="1943100"/>
          <a:ext cx="7731604" cy="1376018"/>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「実行設定」シートの「</a:t>
          </a:r>
          <a:r>
            <a:rPr kumimoji="1" lang="en-US" altLang="ja-JP" sz="1100">
              <a:solidFill>
                <a:schemeClr val="dk1"/>
              </a:solidFill>
              <a:effectLst/>
              <a:latin typeface="+mn-lt"/>
              <a:ea typeface="+mn-ea"/>
              <a:cs typeface="+mn-cs"/>
            </a:rPr>
            <a:t>Python </a:t>
          </a:r>
          <a:r>
            <a:rPr kumimoji="1" lang="ja-JP" altLang="ja-JP" sz="1100">
              <a:solidFill>
                <a:schemeClr val="dk1"/>
              </a:solidFill>
              <a:effectLst/>
              <a:latin typeface="+mn-lt"/>
              <a:ea typeface="+mn-ea"/>
              <a:cs typeface="+mn-cs"/>
            </a:rPr>
            <a:t>実行環境 </a:t>
          </a:r>
          <a:r>
            <a:rPr kumimoji="1" lang="en-US" altLang="ja-JP" sz="1100">
              <a:solidFill>
                <a:schemeClr val="dk1"/>
              </a:solidFill>
              <a:effectLst/>
              <a:latin typeface="+mn-lt"/>
              <a:ea typeface="+mn-ea"/>
              <a:cs typeface="+mn-cs"/>
            </a:rPr>
            <a:t>/ </a:t>
          </a:r>
          <a:r>
            <a:rPr kumimoji="1" lang="ja-JP" altLang="ja-JP" sz="1100">
              <a:solidFill>
                <a:schemeClr val="dk1"/>
              </a:solidFill>
              <a:effectLst/>
              <a:latin typeface="+mn-lt"/>
              <a:ea typeface="+mn-ea"/>
              <a:cs typeface="+mn-cs"/>
            </a:rPr>
            <a:t>実行パス」が空欄の時に</a:t>
          </a:r>
          <a:r>
            <a:rPr kumimoji="1" lang="ja-JP" altLang="en-US" sz="1100">
              <a:solidFill>
                <a:schemeClr val="dk1"/>
              </a:solidFill>
              <a:effectLst/>
              <a:latin typeface="+mn-lt"/>
              <a:ea typeface="+mn-ea"/>
              <a:cs typeface="+mn-cs"/>
            </a:rPr>
            <a:t>使われる </a:t>
          </a:r>
          <a:r>
            <a:rPr kumimoji="1" lang="en-US" altLang="ja-JP" sz="1100">
              <a:solidFill>
                <a:schemeClr val="dk1"/>
              </a:solidFill>
              <a:effectLst/>
              <a:latin typeface="+mn-lt"/>
              <a:ea typeface="+mn-ea"/>
              <a:cs typeface="+mn-cs"/>
            </a:rPr>
            <a:t>Python </a:t>
          </a:r>
          <a:r>
            <a:rPr kumimoji="1" lang="ja-JP" altLang="en-US" sz="1100">
              <a:solidFill>
                <a:schemeClr val="dk1"/>
              </a:solidFill>
              <a:effectLst/>
              <a:latin typeface="+mn-lt"/>
              <a:ea typeface="+mn-ea"/>
              <a:cs typeface="+mn-cs"/>
            </a:rPr>
            <a:t>環境をインストールします。</a:t>
          </a:r>
          <a:endParaRPr lang="ja-JP" altLang="ja-JP">
            <a:effectLst/>
          </a:endParaRPr>
        </a:p>
        <a:p>
          <a:r>
            <a:rPr kumimoji="1" lang="en-US" altLang="ja-JP" sz="1100"/>
            <a:t>※ </a:t>
          </a:r>
          <a:r>
            <a:rPr kumimoji="1" lang="ja-JP" altLang="en-US" sz="1100"/>
            <a:t>実行すると、「</a:t>
          </a:r>
          <a:r>
            <a:rPr kumimoji="1" lang="en-US" altLang="ja-JP" sz="1100"/>
            <a:t>Python</a:t>
          </a:r>
          <a:r>
            <a:rPr kumimoji="1" lang="ja-JP" altLang="en-US" sz="1100"/>
            <a:t>」フォルダに約 </a:t>
          </a:r>
          <a:r>
            <a:rPr kumimoji="1" lang="en-US" altLang="ja-JP" sz="1100"/>
            <a:t>2~3 GB </a:t>
          </a:r>
          <a:r>
            <a:rPr kumimoji="1" lang="ja-JP" altLang="en-US" sz="1100"/>
            <a:t>のデータがダウンロードされます。</a:t>
          </a:r>
          <a:endParaRPr kumimoji="1" lang="en-US" altLang="ja-JP" sz="1100"/>
        </a:p>
        <a:p>
          <a:r>
            <a:rPr kumimoji="1" lang="en-US" altLang="ja-JP" sz="1100"/>
            <a:t>※ </a:t>
          </a:r>
          <a:r>
            <a:rPr kumimoji="1" lang="ja-JP" altLang="en-US" sz="1100"/>
            <a:t>環境により、開始から終了まで </a:t>
          </a:r>
          <a:r>
            <a:rPr kumimoji="1" lang="en-US" altLang="ja-JP" sz="1100"/>
            <a:t>10 ~ 30 </a:t>
          </a:r>
          <a:r>
            <a:rPr kumimoji="1" lang="ja-JP" altLang="en-US" sz="1100"/>
            <a:t>分程度かかります。</a:t>
          </a:r>
          <a:endParaRPr kumimoji="1" lang="en-US" altLang="ja-JP" sz="1100"/>
        </a:p>
        <a:p>
          <a:r>
            <a:rPr kumimoji="1" lang="ja-JP" altLang="en-US" sz="1100"/>
            <a:t>　 </a:t>
          </a:r>
          <a:r>
            <a:rPr kumimoji="1" lang="ja-JP" altLang="en-US" sz="1100">
              <a:solidFill>
                <a:srgbClr val="FF0000"/>
              </a:solidFill>
            </a:rPr>
            <a:t>その間、</a:t>
          </a:r>
          <a:r>
            <a:rPr kumimoji="1" lang="en-US" altLang="ja-JP" sz="1100">
              <a:solidFill>
                <a:srgbClr val="FF0000"/>
              </a:solidFill>
            </a:rPr>
            <a:t>Excel </a:t>
          </a:r>
          <a:r>
            <a:rPr kumimoji="1" lang="ja-JP" altLang="en-US" sz="1100">
              <a:solidFill>
                <a:srgbClr val="FF0000"/>
              </a:solidFill>
            </a:rPr>
            <a:t>が使えません。</a:t>
          </a:r>
          <a:endParaRPr kumimoji="1" lang="en-US" altLang="ja-JP" sz="1100">
            <a:solidFill>
              <a:srgbClr val="FF0000"/>
            </a:solidFill>
          </a:endParaRPr>
        </a:p>
        <a:p>
          <a:r>
            <a:rPr kumimoji="1" lang="ja-JP" altLang="en-US" sz="1100"/>
            <a:t>　 インストール中、コマンドプロンプト画面を閉じないでください。</a:t>
          </a:r>
          <a:endParaRPr kumimoji="1" lang="en-US" altLang="ja-JP" sz="1100"/>
        </a:p>
        <a:p>
          <a:r>
            <a:rPr kumimoji="1" lang="ja-JP" altLang="en-US" sz="1100"/>
            <a:t>　 インストールが終了すると、コマンドプロンプト画面が自動で閉じます。</a:t>
          </a:r>
          <a:endParaRPr kumimoji="1" lang="en-US" altLang="ja-JP" sz="1100"/>
        </a:p>
        <a:p>
          <a:r>
            <a:rPr kumimoji="1" lang="en-US" altLang="ja-JP" sz="1100"/>
            <a:t>※ PyFemtet </a:t>
          </a:r>
          <a:r>
            <a:rPr kumimoji="1" lang="ja-JP" altLang="en-US" sz="1100"/>
            <a:t>のアップデート時も上記ボタンを押してください。</a:t>
          </a:r>
          <a:endParaRPr kumimoji="1" lang="en-US" altLang="ja-JP" sz="1100"/>
        </a:p>
      </xdr:txBody>
    </xdr:sp>
    <xdr:clientData/>
  </xdr:oneCellAnchor>
  <mc:AlternateContent xmlns:mc="http://schemas.openxmlformats.org/markup-compatibility/2006">
    <mc:Choice xmlns:a14="http://schemas.microsoft.com/office/drawing/2010/main" Requires="a14">
      <xdr:twoCellAnchor>
        <xdr:from>
          <xdr:col>3</xdr:col>
          <xdr:colOff>22860</xdr:colOff>
          <xdr:row>29</xdr:row>
          <xdr:rowOff>30480</xdr:rowOff>
        </xdr:from>
        <xdr:to>
          <xdr:col>8</xdr:col>
          <xdr:colOff>441960</xdr:colOff>
          <xdr:row>36</xdr:row>
          <xdr:rowOff>30480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「実行設定」に設定された</a:t>
              </a:r>
            </a:p>
            <a:p>
              <a:pPr algn="ctr" rtl="0">
                <a:defRPr sz="1000"/>
              </a:pPr>
              <a:r>
                <a:rPr lang="ja-JP" altLang="en-US" sz="900" b="0" i="0" u="none" strike="noStrike" baseline="0">
                  <a:solidFill>
                    <a:srgbClr val="000000"/>
                  </a:solidFill>
                  <a:latin typeface="ＭＳ ゴシック"/>
                  <a:ea typeface="ＭＳ ゴシック"/>
                </a:rPr>
                <a:t>Python 環境での PyFemtet バージョン確認</a:t>
              </a:r>
            </a:p>
          </xdr:txBody>
        </xdr:sp>
        <xdr:clientData fPrintsWithSheet="0"/>
      </xdr:twoCellAnchor>
    </mc:Choice>
    <mc:Fallback/>
  </mc:AlternateContent>
  <xdr:twoCellAnchor editAs="oneCell">
    <xdr:from>
      <xdr:col>10</xdr:col>
      <xdr:colOff>1</xdr:colOff>
      <xdr:row>30</xdr:row>
      <xdr:rowOff>0</xdr:rowOff>
    </xdr:from>
    <xdr:to>
      <xdr:col>16</xdr:col>
      <xdr:colOff>297181</xdr:colOff>
      <xdr:row>35</xdr:row>
      <xdr:rowOff>26655</xdr:rowOff>
    </xdr:to>
    <xdr:pic>
      <xdr:nvPicPr>
        <xdr:cNvPr id="4" name="図 3">
          <a:extLst>
            <a:ext uri="{FF2B5EF4-FFF2-40B4-BE49-F238E27FC236}">
              <a16:creationId xmlns:a16="http://schemas.microsoft.com/office/drawing/2014/main" id="{E8FB7F02-06DA-4874-75C1-BBA832FDA955}"/>
            </a:ext>
          </a:extLst>
        </xdr:cNvPr>
        <xdr:cNvPicPr>
          <a:picLocks noChangeAspect="1"/>
        </xdr:cNvPicPr>
      </xdr:nvPicPr>
      <xdr:blipFill>
        <a:blip xmlns:r="http://schemas.openxmlformats.org/officeDocument/2006/relationships" r:embed="rId1"/>
        <a:stretch>
          <a:fillRect/>
        </a:stretch>
      </xdr:blipFill>
      <xdr:spPr>
        <a:xfrm>
          <a:off x="5486401" y="4343400"/>
          <a:ext cx="3589020" cy="7505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0</xdr:colOff>
          <xdr:row>24</xdr:row>
          <xdr:rowOff>0</xdr:rowOff>
        </xdr:to>
        <xdr:sp macro="" textlink="">
          <xdr:nvSpPr>
            <xdr:cNvPr id="3075" name="訓練データ作成"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xdr:oneCellAnchor>
    <xdr:from>
      <xdr:col>5</xdr:col>
      <xdr:colOff>0</xdr:colOff>
      <xdr:row>9</xdr:row>
      <xdr:rowOff>91440</xdr:rowOff>
    </xdr:from>
    <xdr:ext cx="8648521" cy="1192634"/>
    <xdr:sp macro="" textlink="">
      <xdr:nvSpPr>
        <xdr:cNvPr id="2" name="テキスト ボックス 1">
          <a:extLst>
            <a:ext uri="{FF2B5EF4-FFF2-40B4-BE49-F238E27FC236}">
              <a16:creationId xmlns:a16="http://schemas.microsoft.com/office/drawing/2014/main" id="{DC5BEB73-BCA1-4CA9-B0AF-9471DC143726}"/>
            </a:ext>
          </a:extLst>
        </xdr:cNvPr>
        <xdr:cNvSpPr txBox="1"/>
      </xdr:nvSpPr>
      <xdr:spPr>
        <a:xfrm>
          <a:off x="9631680" y="2895600"/>
          <a:ext cx="8648521" cy="1192634"/>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ja-JP" altLang="en-US" sz="1100" b="0" i="0">
              <a:solidFill>
                <a:schemeClr val="tx1"/>
              </a:solidFill>
              <a:effectLst/>
              <a:latin typeface="+mn-lt"/>
              <a:ea typeface="+mn-ea"/>
              <a:cs typeface="+mn-cs"/>
            </a:rPr>
            <a:t>ユーザー定義の目的関数と制約関数を含む </a:t>
          </a:r>
          <a:r>
            <a:rPr lang="en-US" altLang="ja-JP" sz="1100" b="0" i="0">
              <a:solidFill>
                <a:schemeClr val="tx1"/>
              </a:solidFill>
              <a:effectLst/>
              <a:latin typeface="+mn-lt"/>
              <a:ea typeface="+mn-ea"/>
              <a:cs typeface="+mn-cs"/>
            </a:rPr>
            <a:t>.py </a:t>
          </a:r>
          <a:r>
            <a:rPr lang="ja-JP" altLang="en-US" sz="1100" b="0" i="0">
              <a:solidFill>
                <a:schemeClr val="tx1"/>
              </a:solidFill>
              <a:effectLst/>
              <a:latin typeface="+mn-lt"/>
              <a:ea typeface="+mn-ea"/>
              <a:cs typeface="+mn-cs"/>
            </a:rPr>
            <a:t>ファイルのパスです。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このモジュールには </a:t>
          </a:r>
          <a:r>
            <a:rPr lang="en-US" altLang="ja-JP" sz="1100" b="1" i="0">
              <a:solidFill>
                <a:schemeClr val="tx1"/>
              </a:solidFill>
              <a:effectLst/>
              <a:latin typeface="+mn-lt"/>
              <a:ea typeface="+mn-ea"/>
              <a:cs typeface="+mn-cs"/>
            </a:rPr>
            <a:t>__objective_functions__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が含まれている必要があります。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これらは、</a:t>
          </a:r>
          <a:r>
            <a:rPr lang="en-US" altLang="ja-JP"/>
            <a:t>FEMOpt.add_objective()</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a:t>FEMOpt.add_constraint()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メソッドの必須引数を含む </a:t>
          </a:r>
          <a:r>
            <a:rPr lang="en-US" altLang="ja-JP" sz="1100" b="0" i="0">
              <a:solidFill>
                <a:schemeClr val="tx1"/>
              </a:solidFill>
              <a:effectLst/>
              <a:latin typeface="+mn-lt"/>
              <a:ea typeface="+mn-ea"/>
              <a:cs typeface="+mn-cs"/>
            </a:rPr>
            <a:t>dict </a:t>
          </a:r>
          <a:r>
            <a:rPr lang="ja-JP" altLang="en-US" sz="1100" b="0" i="0">
              <a:solidFill>
                <a:schemeClr val="tx1"/>
              </a:solidFill>
              <a:effectLst/>
              <a:latin typeface="+mn-lt"/>
              <a:ea typeface="+mn-ea"/>
              <a:cs typeface="+mn-cs"/>
            </a:rPr>
            <a:t>変数でなければなりません。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制約関数の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引数は </a:t>
          </a:r>
          <a:r>
            <a:rPr lang="en-US" altLang="ja-JP" sz="1100" b="0" i="0">
              <a:solidFill>
                <a:schemeClr val="tx1"/>
              </a:solidFill>
              <a:effectLst/>
              <a:latin typeface="+mn-lt"/>
              <a:ea typeface="+mn-ea"/>
              <a:cs typeface="+mn-cs"/>
            </a:rPr>
            <a:t>meta_script </a:t>
          </a:r>
          <a:r>
            <a:rPr lang="ja-JP" altLang="en-US" sz="1100" b="0" i="0">
              <a:solidFill>
                <a:schemeClr val="tx1"/>
              </a:solidFill>
              <a:effectLst/>
              <a:latin typeface="+mn-lt"/>
              <a:ea typeface="+mn-ea"/>
              <a:cs typeface="+mn-cs"/>
            </a:rPr>
            <a:t>によって予約されており、その値は </a:t>
          </a:r>
          <a:r>
            <a:rPr lang="en-US" altLang="ja-JP"/>
            <a:t>FEMOpt.opt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に固定されているため、</a:t>
          </a:r>
          <a:endParaRPr lang="en-US" altLang="ja-JP" sz="1100" b="0" i="0">
            <a:solidFill>
              <a:schemeClr val="tx1"/>
            </a:solidFill>
            <a:effectLst/>
            <a:latin typeface="+mn-lt"/>
            <a:ea typeface="+mn-ea"/>
            <a:cs typeface="+mn-cs"/>
          </a:endParaRPr>
        </a:p>
        <a:p>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では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引数を使用できません。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また、関数にはグローバルスコープ外で定義された </a:t>
          </a:r>
          <a:r>
            <a:rPr lang="en-US" altLang="ja-JP" sz="1100" b="0" i="0">
              <a:solidFill>
                <a:schemeClr val="tx1"/>
              </a:solidFill>
              <a:effectLst/>
              <a:latin typeface="+mn-lt"/>
              <a:ea typeface="+mn-ea"/>
              <a:cs typeface="+mn-cs"/>
            </a:rPr>
            <a:t>Python </a:t>
          </a:r>
          <a:r>
            <a:rPr lang="ja-JP" altLang="en-US" sz="1100" b="0" i="0">
              <a:solidFill>
                <a:schemeClr val="tx1"/>
              </a:solidFill>
              <a:effectLst/>
              <a:latin typeface="+mn-lt"/>
              <a:ea typeface="+mn-ea"/>
              <a:cs typeface="+mn-cs"/>
            </a:rPr>
            <a:t>変数を含めないようにしてください。</a:t>
          </a:r>
          <a:endParaRPr kumimoji="1" lang="ja-JP" altLang="en-US" sz="1100"/>
        </a:p>
      </xdr:txBody>
    </xdr:sp>
    <xdr:clientData/>
  </xdr:oneCellAnchor>
  <xdr:twoCellAnchor>
    <xdr:from>
      <xdr:col>4</xdr:col>
      <xdr:colOff>0</xdr:colOff>
      <xdr:row>17</xdr:row>
      <xdr:rowOff>1957</xdr:rowOff>
    </xdr:from>
    <xdr:to>
      <xdr:col>5</xdr:col>
      <xdr:colOff>0</xdr:colOff>
      <xdr:row>20</xdr:row>
      <xdr:rowOff>205740</xdr:rowOff>
    </xdr:to>
    <xdr:cxnSp macro="">
      <xdr:nvCxnSpPr>
        <xdr:cNvPr id="4" name="直線矢印コネクタ 3">
          <a:extLst>
            <a:ext uri="{FF2B5EF4-FFF2-40B4-BE49-F238E27FC236}">
              <a16:creationId xmlns:a16="http://schemas.microsoft.com/office/drawing/2014/main" id="{FD36D16E-90D0-B52E-27F4-42D6C49E965F}"/>
            </a:ext>
          </a:extLst>
        </xdr:cNvPr>
        <xdr:cNvCxnSpPr>
          <a:stCxn id="2" idx="1"/>
        </xdr:cNvCxnSpPr>
      </xdr:nvCxnSpPr>
      <xdr:spPr>
        <a:xfrm flipH="1">
          <a:off x="9090660" y="3491917"/>
          <a:ext cx="541020" cy="47810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0</xdr:colOff>
      <xdr:row>9</xdr:row>
      <xdr:rowOff>58782</xdr:rowOff>
    </xdr:from>
    <xdr:ext cx="9123460" cy="1385379"/>
    <xdr:sp macro="" textlink="">
      <xdr:nvSpPr>
        <xdr:cNvPr id="6" name="テキスト ボックス 5">
          <a:extLst>
            <a:ext uri="{FF2B5EF4-FFF2-40B4-BE49-F238E27FC236}">
              <a16:creationId xmlns:a16="http://schemas.microsoft.com/office/drawing/2014/main" id="{3E3F0598-1CC0-F1CE-1C16-505DC574F207}"/>
            </a:ext>
          </a:extLst>
        </xdr:cNvPr>
        <xdr:cNvSpPr txBox="1"/>
      </xdr:nvSpPr>
      <xdr:spPr>
        <a:xfrm>
          <a:off x="9927771" y="1833153"/>
          <a:ext cx="9123460" cy="138537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spAutoFit/>
        </a:bodyPr>
        <a:lstStyle/>
        <a:p>
          <a:r>
            <a:rPr lang="ja-JP" altLang="en-US" sz="1100" b="0" i="0">
              <a:solidFill>
                <a:schemeClr val="tx1"/>
              </a:solidFill>
              <a:effectLst/>
              <a:latin typeface="+mn-lt"/>
              <a:ea typeface="+mn-ea"/>
              <a:cs typeface="+mn-cs"/>
            </a:rPr>
            <a:t>ユーザー定義の目的関数と制約関数を含む </a:t>
          </a:r>
          <a:r>
            <a:rPr lang="en-US" altLang="ja-JP" sz="1100" b="0" i="0">
              <a:solidFill>
                <a:schemeClr val="tx1"/>
              </a:solidFill>
              <a:effectLst/>
              <a:latin typeface="+mn-lt"/>
              <a:ea typeface="+mn-ea"/>
              <a:cs typeface="+mn-cs"/>
            </a:rPr>
            <a:t>.py </a:t>
          </a:r>
          <a:r>
            <a:rPr lang="ja-JP" altLang="en-US" sz="1100" b="0" i="0">
              <a:solidFill>
                <a:schemeClr val="tx1"/>
              </a:solidFill>
              <a:effectLst/>
              <a:latin typeface="+mn-lt"/>
              <a:ea typeface="+mn-ea"/>
              <a:cs typeface="+mn-cs"/>
            </a:rPr>
            <a:t>ファイルのパスです。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このモジュールには </a:t>
          </a:r>
          <a:r>
            <a:rPr lang="en-US" altLang="ja-JP" sz="1100" b="1" i="0">
              <a:solidFill>
                <a:schemeClr val="tx1"/>
              </a:solidFill>
              <a:effectLst/>
              <a:latin typeface="+mn-lt"/>
              <a:ea typeface="+mn-ea"/>
              <a:cs typeface="+mn-cs"/>
            </a:rPr>
            <a:t>__objective_functions__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が含まれている必要があります。</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これらは、</a:t>
          </a:r>
          <a:r>
            <a:rPr lang="en-US" altLang="ja-JP"/>
            <a:t>FEMOpt.add_objective()</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または </a:t>
          </a:r>
          <a:r>
            <a:rPr lang="en-US" altLang="ja-JP"/>
            <a:t>FEMOpt.add_constraint()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メソッドの必須引数を含む </a:t>
          </a:r>
          <a:r>
            <a:rPr lang="en-US" altLang="ja-JP" sz="1100" b="0" i="0">
              <a:solidFill>
                <a:schemeClr val="tx1"/>
              </a:solidFill>
              <a:effectLst/>
              <a:latin typeface="+mn-lt"/>
              <a:ea typeface="+mn-ea"/>
              <a:cs typeface="+mn-cs"/>
            </a:rPr>
            <a:t>dict </a:t>
          </a:r>
          <a:r>
            <a:rPr lang="ja-JP" altLang="en-US" sz="1100" b="0" i="0">
              <a:solidFill>
                <a:schemeClr val="tx1"/>
              </a:solidFill>
              <a:effectLst/>
              <a:latin typeface="+mn-lt"/>
              <a:ea typeface="+mn-ea"/>
              <a:cs typeface="+mn-cs"/>
            </a:rPr>
            <a:t>変数でなければなりません。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制約関数の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引数は </a:t>
          </a:r>
          <a:r>
            <a:rPr lang="en-US" altLang="ja-JP" sz="1100" b="0" i="0">
              <a:solidFill>
                <a:schemeClr val="tx1"/>
              </a:solidFill>
              <a:effectLst/>
              <a:latin typeface="+mn-lt"/>
              <a:ea typeface="+mn-ea"/>
              <a:cs typeface="+mn-cs"/>
            </a:rPr>
            <a:t>meta_script </a:t>
          </a:r>
          <a:r>
            <a:rPr lang="ja-JP" altLang="en-US" sz="1100" b="0" i="0">
              <a:solidFill>
                <a:schemeClr val="tx1"/>
              </a:solidFill>
              <a:effectLst/>
              <a:latin typeface="+mn-lt"/>
              <a:ea typeface="+mn-ea"/>
              <a:cs typeface="+mn-cs"/>
            </a:rPr>
            <a:t>によって予約されており、その値は </a:t>
          </a:r>
          <a:r>
            <a:rPr lang="en-US" altLang="ja-JP"/>
            <a:t>FEMOpt.opt</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に固定されているため、</a:t>
          </a:r>
          <a:endParaRPr lang="en-US" altLang="ja-JP" sz="1100" b="0" i="0">
            <a:solidFill>
              <a:schemeClr val="tx1"/>
            </a:solidFill>
            <a:effectLst/>
            <a:latin typeface="+mn-lt"/>
            <a:ea typeface="+mn-ea"/>
            <a:cs typeface="+mn-cs"/>
          </a:endParaRPr>
        </a:p>
        <a:p>
          <a:r>
            <a:rPr lang="en-US" altLang="ja-JP" sz="1100" b="1" i="0">
              <a:solidFill>
                <a:schemeClr val="tx1"/>
              </a:solidFill>
              <a:effectLst/>
              <a:latin typeface="+mn-lt"/>
              <a:ea typeface="+mn-ea"/>
              <a:cs typeface="+mn-cs"/>
            </a:rPr>
            <a:t>__constraint_functions__</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では </a:t>
          </a:r>
          <a:r>
            <a:rPr lang="en-US" altLang="ja-JP"/>
            <a:t>args</a:t>
          </a:r>
          <a:r>
            <a:rPr lang="en-US" altLang="ja-JP" sz="1100" b="0" i="0">
              <a:solidFill>
                <a:schemeClr val="tx1"/>
              </a:solidFill>
              <a:effectLst/>
              <a:latin typeface="+mn-lt"/>
              <a:ea typeface="+mn-ea"/>
              <a:cs typeface="+mn-cs"/>
            </a:rPr>
            <a:t> </a:t>
          </a:r>
          <a:r>
            <a:rPr lang="ja-JP" altLang="en-US" sz="1100" b="0" i="0">
              <a:solidFill>
                <a:schemeClr val="tx1"/>
              </a:solidFill>
              <a:effectLst/>
              <a:latin typeface="+mn-lt"/>
              <a:ea typeface="+mn-ea"/>
              <a:cs typeface="+mn-cs"/>
            </a:rPr>
            <a:t>引数を使用できません。</a:t>
          </a:r>
          <a:endParaRPr lang="en-US" altLang="ja-JP" sz="1100" b="0" i="0">
            <a:solidFill>
              <a:schemeClr val="tx1"/>
            </a:solidFill>
            <a:effectLst/>
            <a:latin typeface="+mn-lt"/>
            <a:ea typeface="+mn-ea"/>
            <a:cs typeface="+mn-cs"/>
          </a:endParaRPr>
        </a:p>
        <a:p>
          <a:r>
            <a:rPr lang="ja-JP" altLang="en-US" sz="1100" b="0" i="0">
              <a:solidFill>
                <a:schemeClr val="tx1"/>
              </a:solidFill>
              <a:effectLst/>
              <a:latin typeface="+mn-lt"/>
              <a:ea typeface="+mn-ea"/>
              <a:cs typeface="+mn-cs"/>
            </a:rPr>
            <a:t>また、関数にはグローバルスコープ外で定義された </a:t>
          </a:r>
          <a:r>
            <a:rPr lang="en-US" altLang="ja-JP" sz="1100" b="0" i="0">
              <a:solidFill>
                <a:schemeClr val="tx1"/>
              </a:solidFill>
              <a:effectLst/>
              <a:latin typeface="+mn-lt"/>
              <a:ea typeface="+mn-ea"/>
              <a:cs typeface="+mn-cs"/>
            </a:rPr>
            <a:t>Python </a:t>
          </a:r>
          <a:r>
            <a:rPr lang="ja-JP" altLang="en-US" sz="1100" b="0" i="0">
              <a:solidFill>
                <a:schemeClr val="tx1"/>
              </a:solidFill>
              <a:effectLst/>
              <a:latin typeface="+mn-lt"/>
              <a:ea typeface="+mn-ea"/>
              <a:cs typeface="+mn-cs"/>
            </a:rPr>
            <a:t>変数を含めないようにしてください。</a:t>
          </a:r>
          <a:endParaRPr kumimoji="1" lang="ja-JP" altLang="en-US" sz="1100"/>
        </a:p>
      </xdr:txBody>
    </xdr:sp>
    <xdr:clientData/>
  </xdr:oneCellAnchor>
  <mc:AlternateContent xmlns:mc="http://schemas.openxmlformats.org/markup-compatibility/2006">
    <mc:Choice xmlns:a14="http://schemas.microsoft.com/office/drawing/2010/main" Requires="a14">
      <xdr:twoCellAnchor>
        <xdr:from>
          <xdr:col>1</xdr:col>
          <xdr:colOff>0</xdr:colOff>
          <xdr:row>68</xdr:row>
          <xdr:rowOff>0</xdr:rowOff>
        </xdr:from>
        <xdr:to>
          <xdr:col>2</xdr:col>
          <xdr:colOff>0</xdr:colOff>
          <xdr:row>70</xdr:row>
          <xdr:rowOff>0</xdr:rowOff>
        </xdr:to>
        <xdr:sp macro="" textlink="">
          <xdr:nvSpPr>
            <xdr:cNvPr id="3081" name="訓練データ作成" hidden="1">
              <a:extLst>
                <a:ext uri="{63B3BB69-23CF-44E3-9099-C40C66FF867C}">
                  <a14:compatExt spid="_x0000_s3081"/>
                </a:ext>
                <a:ext uri="{FF2B5EF4-FFF2-40B4-BE49-F238E27FC236}">
                  <a16:creationId xmlns:a16="http://schemas.microsoft.com/office/drawing/2014/main" id="{ABF4090A-52ED-1559-CA73-C31EF63107F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46</xdr:row>
          <xdr:rowOff>0</xdr:rowOff>
        </xdr:to>
        <xdr:sp macro="" textlink="">
          <xdr:nvSpPr>
            <xdr:cNvPr id="3082" name="訓練データ作成" hidden="1">
              <a:extLst>
                <a:ext uri="{63B3BB69-23CF-44E3-9099-C40C66FF867C}">
                  <a14:compatExt spid="_x0000_s3082"/>
                </a:ext>
                <a:ext uri="{FF2B5EF4-FFF2-40B4-BE49-F238E27FC236}">
                  <a16:creationId xmlns:a16="http://schemas.microsoft.com/office/drawing/2014/main" id="{ABF4090A-52ED-1559-CA73-C31EF63107F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lemolJP">
      <a:majorFont>
        <a:latin typeface="PlemolJP Text"/>
        <a:ea typeface="PlemolJP Text"/>
        <a:cs typeface=""/>
      </a:majorFont>
      <a:minorFont>
        <a:latin typeface="PlemolJP Text"/>
        <a:ea typeface="PlemolJP Text"/>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D7F23-F6DB-4131-8CBE-112D9C17B398}">
  <sheetPr codeName="Sheet3"/>
  <dimension ref="G5:K30"/>
  <sheetViews>
    <sheetView workbookViewId="0">
      <selection activeCell="J28" sqref="J28"/>
    </sheetView>
  </sheetViews>
  <sheetFormatPr defaultRowHeight="11.4" x14ac:dyDescent="0.2"/>
  <sheetData>
    <row r="5" spans="11:11" x14ac:dyDescent="0.2">
      <c r="K5" t="s">
        <v>116</v>
      </c>
    </row>
    <row r="6" spans="11:11" x14ac:dyDescent="0.2">
      <c r="K6" t="s">
        <v>117</v>
      </c>
    </row>
    <row r="7" spans="11:11" x14ac:dyDescent="0.2">
      <c r="K7" t="s">
        <v>118</v>
      </c>
    </row>
    <row r="25" spans="7:11" x14ac:dyDescent="0.2">
      <c r="G25" s="3"/>
      <c r="H25" s="3"/>
      <c r="I25" s="3"/>
      <c r="J25" s="3"/>
    </row>
    <row r="26" spans="7:11" x14ac:dyDescent="0.2">
      <c r="G26" s="3"/>
      <c r="H26" s="3"/>
      <c r="I26" s="3"/>
      <c r="J26" s="3"/>
    </row>
    <row r="27" spans="7:11" x14ac:dyDescent="0.2">
      <c r="G27" s="3"/>
      <c r="H27" s="3"/>
      <c r="I27" s="3"/>
      <c r="J27" s="3"/>
    </row>
    <row r="30" spans="7:11" x14ac:dyDescent="0.2">
      <c r="K30" t="s">
        <v>115</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pipインストール">
              <controlPr defaultSize="0" print="0" autoFill="0" autoPict="0" macro="[0]!pipインストール_Click">
                <anchor moveWithCells="1" sizeWithCells="1">
                  <from>
                    <xdr:col>2</xdr:col>
                    <xdr:colOff>320040</xdr:colOff>
                    <xdr:row>2</xdr:row>
                    <xdr:rowOff>137160</xdr:rowOff>
                  </from>
                  <to>
                    <xdr:col>9</xdr:col>
                    <xdr:colOff>304800</xdr:colOff>
                    <xdr:row>11</xdr:row>
                    <xdr:rowOff>129540</xdr:rowOff>
                  </to>
                </anchor>
              </controlPr>
            </control>
          </mc:Choice>
        </mc:AlternateContent>
        <mc:AlternateContent xmlns:mc="http://schemas.openxmlformats.org/markup-compatibility/2006">
          <mc:Choice Requires="x14">
            <control shapeId="7170" r:id="rId5" name="Button 2">
              <controlPr defaultSize="0" print="0" autoFill="0" autoPict="0" macro="[0]!インストールチェック_Click">
                <anchor moveWithCells="1" sizeWithCells="1">
                  <from>
                    <xdr:col>3</xdr:col>
                    <xdr:colOff>22860</xdr:colOff>
                    <xdr:row>29</xdr:row>
                    <xdr:rowOff>30480</xdr:rowOff>
                  </from>
                  <to>
                    <xdr:col>8</xdr:col>
                    <xdr:colOff>441960</xdr:colOff>
                    <xdr:row>36</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FF5FB-63D8-4A40-A045-FB58C7C6E030}">
  <sheetPr codeName="Sheet4"/>
  <dimension ref="B2:I27"/>
  <sheetViews>
    <sheetView workbookViewId="0">
      <selection activeCell="C13" sqref="C13"/>
    </sheetView>
  </sheetViews>
  <sheetFormatPr defaultRowHeight="11.4" x14ac:dyDescent="0.2"/>
  <cols>
    <col min="3" max="3" width="27.875" customWidth="1"/>
    <col min="6" max="6" width="11.625" bestFit="1" customWidth="1"/>
  </cols>
  <sheetData>
    <row r="2" spans="2:9" s="2" customFormat="1" ht="14.4" thickBot="1" x14ac:dyDescent="0.25">
      <c r="B2" s="2" t="s">
        <v>2</v>
      </c>
    </row>
    <row r="4" spans="2:9" x14ac:dyDescent="0.2">
      <c r="C4" s="4" t="s">
        <v>8</v>
      </c>
      <c r="D4" s="4" t="s">
        <v>126</v>
      </c>
      <c r="E4" s="4" t="s">
        <v>0</v>
      </c>
      <c r="F4" s="4" t="s">
        <v>9</v>
      </c>
      <c r="G4" s="4" t="s">
        <v>10</v>
      </c>
      <c r="H4" s="4" t="s">
        <v>11</v>
      </c>
      <c r="I4" s="4" t="s">
        <v>3</v>
      </c>
    </row>
    <row r="5" spans="2:9" x14ac:dyDescent="0.2">
      <c r="C5" s="4" t="s">
        <v>177</v>
      </c>
      <c r="D5" s="4" t="b">
        <v>1</v>
      </c>
      <c r="E5" s="4">
        <v>10</v>
      </c>
      <c r="F5" s="4">
        <v>10</v>
      </c>
      <c r="G5" s="4">
        <v>15</v>
      </c>
      <c r="H5" s="4"/>
      <c r="I5" s="4"/>
    </row>
    <row r="6" spans="2:9" x14ac:dyDescent="0.2">
      <c r="C6" s="4" t="s">
        <v>178</v>
      </c>
      <c r="D6" s="4" t="b">
        <v>1</v>
      </c>
      <c r="E6" s="4">
        <v>5</v>
      </c>
      <c r="F6" s="4">
        <v>4</v>
      </c>
      <c r="G6" s="4">
        <v>6</v>
      </c>
      <c r="H6" s="4">
        <v>1</v>
      </c>
      <c r="I6" s="4"/>
    </row>
    <row r="10" spans="2:9" s="2" customFormat="1" ht="14.4" thickBot="1" x14ac:dyDescent="0.25">
      <c r="B10" s="2" t="s">
        <v>128</v>
      </c>
    </row>
    <row r="12" spans="2:9" x14ac:dyDescent="0.2">
      <c r="C12" s="4" t="s">
        <v>124</v>
      </c>
      <c r="D12" s="4" t="s">
        <v>126</v>
      </c>
      <c r="E12" s="4" t="s">
        <v>0</v>
      </c>
      <c r="F12" s="4" t="s">
        <v>125</v>
      </c>
      <c r="G12" s="4" t="s">
        <v>3</v>
      </c>
    </row>
    <row r="13" spans="2:9" x14ac:dyDescent="0.2">
      <c r="C13" s="4" t="s">
        <v>132</v>
      </c>
      <c r="D13" s="4" t="b">
        <v>1</v>
      </c>
      <c r="E13" s="4"/>
      <c r="F13" s="4" t="s">
        <v>184</v>
      </c>
      <c r="G13" s="4"/>
    </row>
    <row r="16" spans="2:9" s="2" customFormat="1" ht="14.4" thickBot="1" x14ac:dyDescent="0.25">
      <c r="B16" s="2" t="s">
        <v>129</v>
      </c>
    </row>
    <row r="18" spans="2:9" x14ac:dyDescent="0.2">
      <c r="C18" s="4" t="s">
        <v>130</v>
      </c>
      <c r="D18" s="4" t="s">
        <v>126</v>
      </c>
      <c r="E18" s="4" t="s">
        <v>0</v>
      </c>
      <c r="F18" s="4" t="s">
        <v>9</v>
      </c>
      <c r="G18" s="4" t="s">
        <v>10</v>
      </c>
      <c r="H18" s="4" t="s">
        <v>131</v>
      </c>
      <c r="I18" s="4" t="s">
        <v>3</v>
      </c>
    </row>
    <row r="19" spans="2:9" x14ac:dyDescent="0.2">
      <c r="C19" s="4" t="s">
        <v>133</v>
      </c>
      <c r="D19" s="4" t="b">
        <v>1</v>
      </c>
      <c r="E19" s="4">
        <f>E5+E6</f>
        <v>15</v>
      </c>
      <c r="F19" s="4"/>
      <c r="G19" s="4">
        <v>15</v>
      </c>
      <c r="H19" s="4"/>
      <c r="I19" s="4"/>
    </row>
    <row r="20" spans="2:9" x14ac:dyDescent="0.2">
      <c r="C20" s="4" t="s">
        <v>134</v>
      </c>
      <c r="D20" s="4" t="b">
        <v>1</v>
      </c>
      <c r="E20" s="4">
        <f>E6</f>
        <v>5</v>
      </c>
      <c r="F20" s="4"/>
      <c r="G20" s="4">
        <v>4</v>
      </c>
      <c r="H20" s="4" t="b">
        <v>0</v>
      </c>
      <c r="I20" s="4"/>
    </row>
    <row r="26" spans="2:9" x14ac:dyDescent="0.2">
      <c r="B26" t="s">
        <v>152</v>
      </c>
    </row>
    <row r="27" spans="2:9" x14ac:dyDescent="0.2">
      <c r="B27" t="s">
        <v>153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26824-E9CA-43C8-9DDF-E28E5BDC08DB}">
  <sheetPr codeName="Sheet5"/>
  <dimension ref="B2:I19"/>
  <sheetViews>
    <sheetView workbookViewId="0">
      <selection activeCell="F24" sqref="F24"/>
    </sheetView>
  </sheetViews>
  <sheetFormatPr defaultRowHeight="11.4" x14ac:dyDescent="0.2"/>
  <cols>
    <col min="3" max="3" width="24.375" customWidth="1"/>
    <col min="6" max="6" width="10.5" bestFit="1" customWidth="1"/>
  </cols>
  <sheetData>
    <row r="2" spans="2:9" s="2" customFormat="1" ht="14.4" thickBot="1" x14ac:dyDescent="0.25">
      <c r="B2" s="2" t="s">
        <v>2</v>
      </c>
    </row>
    <row r="4" spans="2:9" x14ac:dyDescent="0.2">
      <c r="C4" s="4" t="s">
        <v>8</v>
      </c>
      <c r="D4" s="4" t="s">
        <v>126</v>
      </c>
      <c r="E4" s="4" t="s">
        <v>0</v>
      </c>
      <c r="F4" s="4" t="s">
        <v>9</v>
      </c>
      <c r="G4" s="4" t="s">
        <v>10</v>
      </c>
      <c r="H4" s="4" t="s">
        <v>11</v>
      </c>
      <c r="I4" s="4" t="s">
        <v>3</v>
      </c>
    </row>
    <row r="5" spans="2:9" x14ac:dyDescent="0.2">
      <c r="C5" s="4" t="s">
        <v>177</v>
      </c>
      <c r="D5" s="4" t="b">
        <v>1</v>
      </c>
      <c r="E5" s="4">
        <v>10</v>
      </c>
      <c r="F5" s="4">
        <v>10</v>
      </c>
      <c r="G5" s="4">
        <v>15</v>
      </c>
      <c r="H5" s="4"/>
      <c r="I5" s="4"/>
    </row>
    <row r="6" spans="2:9" x14ac:dyDescent="0.2">
      <c r="C6" s="4" t="s">
        <v>178</v>
      </c>
      <c r="D6" s="4" t="b">
        <v>1</v>
      </c>
      <c r="E6" s="4">
        <v>5</v>
      </c>
      <c r="F6" s="4">
        <v>4</v>
      </c>
      <c r="G6" s="4">
        <v>6</v>
      </c>
      <c r="H6" s="4">
        <v>1</v>
      </c>
      <c r="I6" s="4"/>
    </row>
    <row r="10" spans="2:9" s="2" customFormat="1" ht="14.4" thickBot="1" x14ac:dyDescent="0.25">
      <c r="B10" s="2" t="s">
        <v>128</v>
      </c>
    </row>
    <row r="12" spans="2:9" x14ac:dyDescent="0.2">
      <c r="C12" s="4" t="s">
        <v>124</v>
      </c>
      <c r="D12" s="4" t="s">
        <v>126</v>
      </c>
      <c r="E12" s="4" t="s">
        <v>0</v>
      </c>
      <c r="F12" s="4" t="s">
        <v>125</v>
      </c>
      <c r="G12" s="4" t="s">
        <v>3</v>
      </c>
    </row>
    <row r="13" spans="2:9" x14ac:dyDescent="0.2">
      <c r="C13" s="4" t="s">
        <v>186</v>
      </c>
      <c r="D13" s="4" t="b">
        <v>1</v>
      </c>
      <c r="E13" s="4"/>
      <c r="F13" s="4">
        <f>500 * 0.000000001</f>
        <v>5.0000000000000008E-7</v>
      </c>
      <c r="G13" s="4"/>
    </row>
    <row r="18" spans="2:2" x14ac:dyDescent="0.2">
      <c r="B18" t="s">
        <v>152</v>
      </c>
    </row>
    <row r="19" spans="2:2" x14ac:dyDescent="0.2">
      <c r="B19" t="s">
        <v>153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2A470-3553-4AB8-9CAD-ABB8678709A7}">
  <sheetPr codeName="Sheet6"/>
  <dimension ref="B2:I19"/>
  <sheetViews>
    <sheetView workbookViewId="0">
      <selection activeCell="F14" sqref="F14"/>
    </sheetView>
  </sheetViews>
  <sheetFormatPr defaultRowHeight="11.4" x14ac:dyDescent="0.2"/>
  <cols>
    <col min="3" max="3" width="24.375" customWidth="1"/>
    <col min="6" max="6" width="10.5" bestFit="1" customWidth="1"/>
  </cols>
  <sheetData>
    <row r="2" spans="2:9" s="2" customFormat="1" ht="14.4" thickBot="1" x14ac:dyDescent="0.25">
      <c r="B2" s="2" t="s">
        <v>2</v>
      </c>
    </row>
    <row r="4" spans="2:9" x14ac:dyDescent="0.2">
      <c r="C4" s="4" t="s">
        <v>8</v>
      </c>
      <c r="D4" s="4" t="s">
        <v>126</v>
      </c>
      <c r="E4" s="4" t="s">
        <v>0</v>
      </c>
      <c r="F4" s="4" t="s">
        <v>9</v>
      </c>
      <c r="G4" s="4" t="s">
        <v>10</v>
      </c>
      <c r="H4" s="4" t="s">
        <v>11</v>
      </c>
      <c r="I4" s="4" t="s">
        <v>3</v>
      </c>
    </row>
    <row r="5" spans="2:9" x14ac:dyDescent="0.2">
      <c r="C5" s="4" t="s">
        <v>177</v>
      </c>
      <c r="D5" s="4" t="b">
        <v>1</v>
      </c>
      <c r="E5" s="4">
        <v>10</v>
      </c>
      <c r="F5" s="4">
        <v>10</v>
      </c>
      <c r="G5" s="4">
        <v>15</v>
      </c>
      <c r="H5" s="4"/>
      <c r="I5" s="4" t="s">
        <v>193</v>
      </c>
    </row>
    <row r="6" spans="2:9" x14ac:dyDescent="0.2">
      <c r="C6" s="4" t="s">
        <v>178</v>
      </c>
      <c r="D6" s="4" t="b">
        <v>1</v>
      </c>
      <c r="E6" s="4">
        <v>5</v>
      </c>
      <c r="F6" s="4">
        <v>4</v>
      </c>
      <c r="G6" s="4">
        <v>6</v>
      </c>
      <c r="H6" s="4">
        <v>1</v>
      </c>
      <c r="I6" s="4"/>
    </row>
    <row r="10" spans="2:9" s="2" customFormat="1" ht="14.4" thickBot="1" x14ac:dyDescent="0.25">
      <c r="B10" s="2" t="s">
        <v>128</v>
      </c>
    </row>
    <row r="12" spans="2:9" x14ac:dyDescent="0.2">
      <c r="C12" s="4" t="s">
        <v>124</v>
      </c>
      <c r="D12" s="4" t="s">
        <v>126</v>
      </c>
      <c r="E12" s="4" t="s">
        <v>0</v>
      </c>
      <c r="F12" s="4" t="s">
        <v>125</v>
      </c>
      <c r="G12" s="4" t="s">
        <v>3</v>
      </c>
    </row>
    <row r="13" spans="2:9" x14ac:dyDescent="0.2">
      <c r="C13" s="4" t="s">
        <v>195</v>
      </c>
      <c r="D13" s="4" t="b">
        <v>1</v>
      </c>
      <c r="E13" s="4">
        <v>2.1071481920792115E-4</v>
      </c>
      <c r="F13" s="4" t="s">
        <v>135</v>
      </c>
      <c r="G13" s="4" t="s">
        <v>190</v>
      </c>
    </row>
    <row r="18" spans="2:2" x14ac:dyDescent="0.2">
      <c r="B18" t="s">
        <v>152</v>
      </c>
    </row>
    <row r="19" spans="2:2" x14ac:dyDescent="0.2">
      <c r="B19" t="s">
        <v>153</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outlinePr summaryBelow="0" summaryRight="0"/>
  </sheetPr>
  <dimension ref="B3:D77"/>
  <sheetViews>
    <sheetView showGridLines="0" tabSelected="1" topLeftCell="A27" zoomScale="70" zoomScaleNormal="70" workbookViewId="0">
      <selection activeCell="F39" sqref="F39"/>
    </sheetView>
  </sheetViews>
  <sheetFormatPr defaultColWidth="8.875" defaultRowHeight="11.4" outlineLevelRow="1" x14ac:dyDescent="0.2"/>
  <cols>
    <col min="2" max="2" width="27.875" customWidth="1"/>
    <col min="3" max="3" width="50.125" customWidth="1"/>
    <col min="4" max="4" width="66.875" customWidth="1"/>
  </cols>
  <sheetData>
    <row r="3" spans="2:4" s="2" customFormat="1" ht="14.4" thickBot="1" x14ac:dyDescent="0.25">
      <c r="B3" s="2" t="s">
        <v>182</v>
      </c>
    </row>
    <row r="4" spans="2:4" outlineLevel="1" x14ac:dyDescent="0.2"/>
    <row r="5" spans="2:4" ht="13.8" outlineLevel="1" x14ac:dyDescent="0.2">
      <c r="B5" s="12" t="s">
        <v>1</v>
      </c>
      <c r="C5" s="12" t="s">
        <v>0</v>
      </c>
      <c r="D5" s="13" t="s">
        <v>3</v>
      </c>
    </row>
    <row r="6" spans="2:4" outlineLevel="1" x14ac:dyDescent="0.2">
      <c r="B6" s="9" t="s">
        <v>13</v>
      </c>
      <c r="C6" s="9" t="s">
        <v>180</v>
      </c>
      <c r="D6" s="4" t="s">
        <v>113</v>
      </c>
    </row>
    <row r="7" spans="2:4" outlineLevel="1" x14ac:dyDescent="0.2">
      <c r="B7" s="9" t="s">
        <v>14</v>
      </c>
      <c r="C7" s="9"/>
      <c r="D7" s="4" t="s">
        <v>154</v>
      </c>
    </row>
    <row r="8" spans="2:4" outlineLevel="1" x14ac:dyDescent="0.2">
      <c r="B8" s="9" t="s">
        <v>7</v>
      </c>
      <c r="C8" s="9" t="s">
        <v>137</v>
      </c>
      <c r="D8" s="4"/>
    </row>
    <row r="9" spans="2:4" outlineLevel="1" x14ac:dyDescent="0.2">
      <c r="B9" s="9"/>
      <c r="C9" s="9"/>
      <c r="D9" s="4"/>
    </row>
    <row r="10" spans="2:4" outlineLevel="1" x14ac:dyDescent="0.2">
      <c r="B10" s="9" t="s">
        <v>161</v>
      </c>
      <c r="C10" s="9" t="s">
        <v>109</v>
      </c>
      <c r="D10" s="4" t="s">
        <v>162</v>
      </c>
    </row>
    <row r="11" spans="2:4" outlineLevel="1" x14ac:dyDescent="0.2">
      <c r="B11" s="9" t="s">
        <v>105</v>
      </c>
      <c r="C11" s="9">
        <v>10</v>
      </c>
      <c r="D11" s="4" t="s">
        <v>165</v>
      </c>
    </row>
    <row r="12" spans="2:4" outlineLevel="1" x14ac:dyDescent="0.2">
      <c r="B12" s="9" t="s">
        <v>163</v>
      </c>
      <c r="C12" s="9">
        <v>10</v>
      </c>
      <c r="D12" s="4" t="s">
        <v>164</v>
      </c>
    </row>
    <row r="13" spans="2:4" outlineLevel="1" x14ac:dyDescent="0.2">
      <c r="B13" s="9"/>
      <c r="C13" s="9"/>
      <c r="D13" s="4"/>
    </row>
    <row r="14" spans="2:4" ht="34.200000000000003" outlineLevel="1" x14ac:dyDescent="0.2">
      <c r="B14" s="9" t="s">
        <v>110</v>
      </c>
      <c r="C14" s="9" t="s">
        <v>181</v>
      </c>
      <c r="D14" s="10" t="s">
        <v>166</v>
      </c>
    </row>
    <row r="15" spans="2:4" outlineLevel="1" x14ac:dyDescent="0.2">
      <c r="B15" s="9"/>
      <c r="C15" s="9"/>
      <c r="D15" s="4"/>
    </row>
    <row r="16" spans="2:4" outlineLevel="1" x14ac:dyDescent="0.2">
      <c r="B16" s="9" t="s">
        <v>12</v>
      </c>
      <c r="C16" s="9">
        <v>20</v>
      </c>
      <c r="D16" s="4"/>
    </row>
    <row r="17" spans="2:4" outlineLevel="1" x14ac:dyDescent="0.2">
      <c r="B17" s="9" t="s">
        <v>4</v>
      </c>
      <c r="C17" s="9"/>
      <c r="D17" s="4"/>
    </row>
    <row r="18" spans="2:4" outlineLevel="1" x14ac:dyDescent="0.2">
      <c r="B18" s="9" t="s">
        <v>5</v>
      </c>
      <c r="C18" s="9"/>
      <c r="D18" s="4"/>
    </row>
    <row r="19" spans="2:4" outlineLevel="1" x14ac:dyDescent="0.2">
      <c r="B19" s="9" t="s">
        <v>6</v>
      </c>
      <c r="C19" s="9">
        <v>1</v>
      </c>
      <c r="D19" s="4"/>
    </row>
    <row r="20" spans="2:4" outlineLevel="1" x14ac:dyDescent="0.2">
      <c r="B20" s="9"/>
      <c r="C20" s="9"/>
      <c r="D20" s="4"/>
    </row>
    <row r="21" spans="2:4" ht="34.200000000000003" outlineLevel="1" x14ac:dyDescent="0.2">
      <c r="B21" s="11" t="s">
        <v>122</v>
      </c>
      <c r="C21" s="9"/>
      <c r="D21" s="4" t="s">
        <v>123</v>
      </c>
    </row>
    <row r="22" spans="2:4" outlineLevel="1" x14ac:dyDescent="0.2"/>
    <row r="23" spans="2:4" outlineLevel="1" x14ac:dyDescent="0.2"/>
    <row r="24" spans="2:4" outlineLevel="1" x14ac:dyDescent="0.2"/>
    <row r="27" spans="2:4" s="2" customFormat="1" ht="14.4" thickBot="1" x14ac:dyDescent="0.25">
      <c r="B27" s="2" t="s">
        <v>171</v>
      </c>
    </row>
    <row r="28" spans="2:4" outlineLevel="1" x14ac:dyDescent="0.2"/>
    <row r="29" spans="2:4" ht="13.8" outlineLevel="1" x14ac:dyDescent="0.2">
      <c r="B29" s="12" t="s">
        <v>1</v>
      </c>
      <c r="C29" s="12" t="s">
        <v>0</v>
      </c>
      <c r="D29" s="13" t="s">
        <v>3</v>
      </c>
    </row>
    <row r="30" spans="2:4" outlineLevel="1" x14ac:dyDescent="0.2">
      <c r="B30" s="9" t="s">
        <v>172</v>
      </c>
      <c r="C30" s="9" t="str">
        <f>history_csv_path</f>
        <v>sample\sample.csv</v>
      </c>
      <c r="D30" s="4" t="s">
        <v>173</v>
      </c>
    </row>
    <row r="31" spans="2:4" outlineLevel="1" x14ac:dyDescent="0.2">
      <c r="B31" s="9"/>
      <c r="C31" s="9"/>
      <c r="D31" s="4"/>
    </row>
    <row r="32" spans="2:4" outlineLevel="1" x14ac:dyDescent="0.2">
      <c r="B32" s="9" t="s">
        <v>7</v>
      </c>
      <c r="C32" s="9" t="s">
        <v>174</v>
      </c>
      <c r="D32" s="4"/>
    </row>
    <row r="33" spans="2:4" outlineLevel="1" x14ac:dyDescent="0.2">
      <c r="B33" s="9"/>
      <c r="C33" s="9"/>
      <c r="D33" s="4"/>
    </row>
    <row r="34" spans="2:4" outlineLevel="1" x14ac:dyDescent="0.2">
      <c r="B34" s="9" t="s">
        <v>161</v>
      </c>
      <c r="C34" s="9" t="s">
        <v>188</v>
      </c>
      <c r="D34" s="4" t="s">
        <v>162</v>
      </c>
    </row>
    <row r="35" spans="2:4" outlineLevel="1" x14ac:dyDescent="0.2">
      <c r="B35" s="9" t="s">
        <v>105</v>
      </c>
      <c r="C35" s="9">
        <v>10</v>
      </c>
      <c r="D35" s="4" t="s">
        <v>165</v>
      </c>
    </row>
    <row r="36" spans="2:4" outlineLevel="1" x14ac:dyDescent="0.2">
      <c r="B36" s="9" t="s">
        <v>163</v>
      </c>
      <c r="C36" s="9">
        <v>10</v>
      </c>
      <c r="D36" s="4" t="s">
        <v>164</v>
      </c>
    </row>
    <row r="37" spans="2:4" outlineLevel="1" x14ac:dyDescent="0.2">
      <c r="B37" s="9"/>
      <c r="C37" s="9"/>
      <c r="D37" s="4"/>
    </row>
    <row r="38" spans="2:4" ht="34.200000000000003" outlineLevel="1" x14ac:dyDescent="0.2">
      <c r="B38" s="9" t="s">
        <v>110</v>
      </c>
      <c r="C38" s="9" t="s">
        <v>187</v>
      </c>
      <c r="D38" s="10" t="s">
        <v>166</v>
      </c>
    </row>
    <row r="39" spans="2:4" outlineLevel="1" x14ac:dyDescent="0.2">
      <c r="B39" s="9"/>
      <c r="C39" s="9"/>
      <c r="D39" s="4"/>
    </row>
    <row r="40" spans="2:4" outlineLevel="1" x14ac:dyDescent="0.2">
      <c r="B40" s="9" t="s">
        <v>12</v>
      </c>
      <c r="C40" s="9">
        <v>200</v>
      </c>
      <c r="D40" s="4"/>
    </row>
    <row r="41" spans="2:4" outlineLevel="1" x14ac:dyDescent="0.2">
      <c r="B41" s="9" t="s">
        <v>4</v>
      </c>
      <c r="C41" s="9"/>
      <c r="D41" s="4"/>
    </row>
    <row r="42" spans="2:4" outlineLevel="1" x14ac:dyDescent="0.2">
      <c r="B42" s="9" t="s">
        <v>5</v>
      </c>
      <c r="C42" s="9"/>
      <c r="D42" s="4"/>
    </row>
    <row r="43" spans="2:4" outlineLevel="1" x14ac:dyDescent="0.2">
      <c r="B43" s="9" t="s">
        <v>6</v>
      </c>
      <c r="C43" s="9">
        <v>1</v>
      </c>
      <c r="D43" s="4"/>
    </row>
    <row r="44" spans="2:4" outlineLevel="1" x14ac:dyDescent="0.2">
      <c r="B44" s="14"/>
      <c r="C44" s="14"/>
      <c r="D44" s="15"/>
    </row>
    <row r="45" spans="2:4" outlineLevel="1" x14ac:dyDescent="0.2">
      <c r="B45" s="14"/>
      <c r="C45" s="14"/>
      <c r="D45" s="15"/>
    </row>
    <row r="46" spans="2:4" outlineLevel="1" x14ac:dyDescent="0.2">
      <c r="B46" s="14"/>
      <c r="C46" s="14"/>
      <c r="D46" s="15"/>
    </row>
    <row r="47" spans="2:4" x14ac:dyDescent="0.2">
      <c r="B47" s="14"/>
      <c r="C47" s="14"/>
      <c r="D47" s="15"/>
    </row>
    <row r="48" spans="2:4" x14ac:dyDescent="0.2">
      <c r="B48" s="14"/>
      <c r="C48" s="14"/>
      <c r="D48" s="15"/>
    </row>
    <row r="49" spans="2:4" s="2" customFormat="1" ht="14.4" thickBot="1" x14ac:dyDescent="0.25">
      <c r="B49" s="2" t="s">
        <v>183</v>
      </c>
    </row>
    <row r="50" spans="2:4" outlineLevel="1" x14ac:dyDescent="0.2"/>
    <row r="51" spans="2:4" ht="13.8" outlineLevel="1" x14ac:dyDescent="0.2">
      <c r="B51" s="12" t="s">
        <v>1</v>
      </c>
      <c r="C51" s="12" t="s">
        <v>0</v>
      </c>
      <c r="D51" s="13" t="s">
        <v>3</v>
      </c>
    </row>
    <row r="52" spans="2:4" outlineLevel="1" x14ac:dyDescent="0.2">
      <c r="B52" s="9" t="s">
        <v>7</v>
      </c>
      <c r="C52" s="9" t="s">
        <v>192</v>
      </c>
      <c r="D52" s="4"/>
    </row>
    <row r="53" spans="2:4" outlineLevel="1" x14ac:dyDescent="0.2">
      <c r="B53" s="9"/>
      <c r="C53" s="9"/>
      <c r="D53" s="4"/>
    </row>
    <row r="54" spans="2:4" outlineLevel="1" x14ac:dyDescent="0.2">
      <c r="B54" s="9" t="s">
        <v>157</v>
      </c>
      <c r="C54" s="9" t="s">
        <v>175</v>
      </c>
      <c r="D54" s="4" t="s">
        <v>158</v>
      </c>
    </row>
    <row r="55" spans="2:4" outlineLevel="1" x14ac:dyDescent="0.2">
      <c r="B55" s="9" t="s">
        <v>155</v>
      </c>
      <c r="C55" s="9" t="s">
        <v>194</v>
      </c>
      <c r="D55" s="4" t="s">
        <v>156</v>
      </c>
    </row>
    <row r="56" spans="2:4" outlineLevel="1" x14ac:dyDescent="0.2">
      <c r="B56" s="9" t="s">
        <v>159</v>
      </c>
      <c r="C56" s="9" t="s">
        <v>176</v>
      </c>
      <c r="D56" s="4" t="s">
        <v>160</v>
      </c>
    </row>
    <row r="57" spans="2:4" outlineLevel="1" x14ac:dyDescent="0.2">
      <c r="B57" s="9"/>
      <c r="C57" s="9"/>
      <c r="D57" s="4"/>
    </row>
    <row r="58" spans="2:4" outlineLevel="1" x14ac:dyDescent="0.2">
      <c r="B58" s="9" t="s">
        <v>161</v>
      </c>
      <c r="C58" s="9" t="s">
        <v>189</v>
      </c>
      <c r="D58" s="4" t="s">
        <v>162</v>
      </c>
    </row>
    <row r="59" spans="2:4" outlineLevel="1" x14ac:dyDescent="0.2">
      <c r="B59" s="9" t="s">
        <v>105</v>
      </c>
      <c r="C59" s="9">
        <v>10</v>
      </c>
      <c r="D59" s="4" t="s">
        <v>165</v>
      </c>
    </row>
    <row r="60" spans="2:4" outlineLevel="1" x14ac:dyDescent="0.2">
      <c r="B60" s="9" t="s">
        <v>163</v>
      </c>
      <c r="C60" s="9">
        <v>10</v>
      </c>
      <c r="D60" s="4" t="s">
        <v>164</v>
      </c>
    </row>
    <row r="61" spans="2:4" outlineLevel="1" x14ac:dyDescent="0.2">
      <c r="B61" s="9"/>
      <c r="C61" s="9"/>
      <c r="D61" s="4"/>
    </row>
    <row r="62" spans="2:4" ht="34.200000000000003" outlineLevel="1" x14ac:dyDescent="0.2">
      <c r="B62" s="9" t="s">
        <v>110</v>
      </c>
      <c r="C62" s="9" t="s">
        <v>191</v>
      </c>
      <c r="D62" s="10" t="s">
        <v>166</v>
      </c>
    </row>
    <row r="63" spans="2:4" outlineLevel="1" x14ac:dyDescent="0.2">
      <c r="B63" s="9"/>
      <c r="C63" s="9"/>
      <c r="D63" s="4"/>
    </row>
    <row r="64" spans="2:4" outlineLevel="1" x14ac:dyDescent="0.2">
      <c r="B64" s="9" t="s">
        <v>12</v>
      </c>
      <c r="C64" s="9">
        <v>20</v>
      </c>
      <c r="D64" s="4"/>
    </row>
    <row r="65" spans="2:4" outlineLevel="1" x14ac:dyDescent="0.2">
      <c r="B65" s="9" t="s">
        <v>4</v>
      </c>
      <c r="C65" s="9"/>
      <c r="D65" s="4"/>
    </row>
    <row r="66" spans="2:4" outlineLevel="1" x14ac:dyDescent="0.2">
      <c r="B66" s="9" t="s">
        <v>5</v>
      </c>
      <c r="C66" s="9"/>
      <c r="D66" s="4"/>
    </row>
    <row r="67" spans="2:4" outlineLevel="1" x14ac:dyDescent="0.2">
      <c r="B67" s="9" t="s">
        <v>6</v>
      </c>
      <c r="C67" s="9">
        <v>1</v>
      </c>
      <c r="D67" s="4"/>
    </row>
    <row r="68" spans="2:4" outlineLevel="1" x14ac:dyDescent="0.2"/>
    <row r="69" spans="2:4" outlineLevel="1" x14ac:dyDescent="0.2"/>
    <row r="70" spans="2:4" outlineLevel="1" x14ac:dyDescent="0.2"/>
    <row r="71" spans="2:4" outlineLevel="1" x14ac:dyDescent="0.2"/>
    <row r="74" spans="2:4" s="2" customFormat="1" ht="14.4" thickBot="1" x14ac:dyDescent="0.25">
      <c r="B74" s="2" t="s">
        <v>111</v>
      </c>
    </row>
    <row r="75" spans="2:4" outlineLevel="1" x14ac:dyDescent="0.2"/>
    <row r="76" spans="2:4" ht="13.8" outlineLevel="1" x14ac:dyDescent="0.2">
      <c r="B76" s="12" t="s">
        <v>1</v>
      </c>
      <c r="C76" s="12" t="s">
        <v>0</v>
      </c>
      <c r="D76" s="13" t="s">
        <v>3</v>
      </c>
    </row>
    <row r="77" spans="2:4" ht="22.8" outlineLevel="1" x14ac:dyDescent="0.2">
      <c r="B77" s="9" t="s">
        <v>112</v>
      </c>
      <c r="C77" s="9" t="s">
        <v>179</v>
      </c>
      <c r="D77" s="10" t="s">
        <v>119</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訓練データ作成">
              <controlPr defaultSize="0" print="0" autoFill="0" autoPict="0" macro="[0]!実行_Click">
                <anchor moveWithCells="1" sizeWithCells="1">
                  <from>
                    <xdr:col>1</xdr:col>
                    <xdr:colOff>0</xdr:colOff>
                    <xdr:row>22</xdr:row>
                    <xdr:rowOff>0</xdr:rowOff>
                  </from>
                  <to>
                    <xdr:col>2</xdr:col>
                    <xdr:colOff>0</xdr:colOff>
                    <xdr:row>24</xdr:row>
                    <xdr:rowOff>0</xdr:rowOff>
                  </to>
                </anchor>
              </controlPr>
            </control>
          </mc:Choice>
        </mc:AlternateContent>
        <mc:AlternateContent xmlns:mc="http://schemas.openxmlformats.org/markup-compatibility/2006">
          <mc:Choice Requires="x14">
            <control shapeId="3082" r:id="rId5" name="Button 10">
              <controlPr defaultSize="0" print="0" autoFill="0" autoPict="0" macro="[0]!実行B_click">
                <anchor moveWithCells="1" sizeWithCells="1">
                  <from>
                    <xdr:col>1</xdr:col>
                    <xdr:colOff>0</xdr:colOff>
                    <xdr:row>44</xdr:row>
                    <xdr:rowOff>0</xdr:rowOff>
                  </from>
                  <to>
                    <xdr:col>2</xdr:col>
                    <xdr:colOff>0</xdr:colOff>
                    <xdr:row>46</xdr:row>
                    <xdr:rowOff>0</xdr:rowOff>
                  </to>
                </anchor>
              </controlPr>
            </control>
          </mc:Choice>
        </mc:AlternateContent>
        <mc:AlternateContent xmlns:mc="http://schemas.openxmlformats.org/markup-compatibility/2006">
          <mc:Choice Requires="x14">
            <control shapeId="3081" r:id="rId6" name="Button 9">
              <controlPr defaultSize="0" print="0" autoFill="0" autoPict="0" macro="[0]!実行C_click">
                <anchor moveWithCells="1" sizeWithCells="1">
                  <from>
                    <xdr:col>1</xdr:col>
                    <xdr:colOff>0</xdr:colOff>
                    <xdr:row>68</xdr:row>
                    <xdr:rowOff>0</xdr:rowOff>
                  </from>
                  <to>
                    <xdr:col>2</xdr:col>
                    <xdr:colOff>0</xdr:colOff>
                    <xdr:row>70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29D2-BEDE-46D2-A27A-482D854B1149}">
  <sheetPr codeName="SYS_ShYAML1"/>
  <dimension ref="A1:E35"/>
  <sheetViews>
    <sheetView zoomScale="130" zoomScaleNormal="130" workbookViewId="0">
      <selection activeCell="C3" sqref="C3"/>
    </sheetView>
  </sheetViews>
  <sheetFormatPr defaultRowHeight="11.4" x14ac:dyDescent="0.2"/>
  <cols>
    <col min="1" max="1" width="19.75" style="5" customWidth="1"/>
    <col min="2" max="2" width="26.75" style="5" customWidth="1"/>
    <col min="3" max="3" width="60.5" style="5" customWidth="1"/>
    <col min="4" max="4" width="20.375" style="5" customWidth="1"/>
    <col min="5" max="16384" width="9" style="5"/>
  </cols>
  <sheetData>
    <row r="1" spans="1:4" x14ac:dyDescent="0.2">
      <c r="A1" s="5" t="s">
        <v>78</v>
      </c>
      <c r="B1" s="5" t="s">
        <v>136</v>
      </c>
      <c r="D1" s="5" t="s">
        <v>92</v>
      </c>
    </row>
    <row r="2" spans="1:4" x14ac:dyDescent="0.2">
      <c r="A2" s="5" t="s">
        <v>74</v>
      </c>
    </row>
    <row r="3" spans="1:4" x14ac:dyDescent="0.2">
      <c r="B3" s="6" t="s">
        <v>79</v>
      </c>
      <c r="C3" s="6" t="str">
        <f>femprj_path</f>
        <v>sample\sample.femprj</v>
      </c>
    </row>
    <row r="4" spans="1:4" x14ac:dyDescent="0.2">
      <c r="B4" s="6" t="s">
        <v>89</v>
      </c>
      <c r="C4" s="6" t="str" cm="1">
        <f t="array" ref="C4">NullValidador(model_name)</f>
        <v>null</v>
      </c>
      <c r="D4" s="5" t="s">
        <v>93</v>
      </c>
    </row>
    <row r="5" spans="1:4" x14ac:dyDescent="0.2">
      <c r="B5" s="6" t="s">
        <v>106</v>
      </c>
      <c r="C5" s="6" t="str" cm="1">
        <f t="array" ref="C5">ThisWorkbookFilePath()</f>
        <v>E:\pyfemtet\pyfemtet\pyfemtet\opt\meta_script\YAML_Generator.xlsm</v>
      </c>
      <c r="D5" s="5" t="s">
        <v>108</v>
      </c>
    </row>
    <row r="6" spans="1:4" x14ac:dyDescent="0.2">
      <c r="B6" s="6" t="s">
        <v>107</v>
      </c>
      <c r="C6" s="6" t="str">
        <f>input_sheet_name</f>
        <v>最適化セットアップ</v>
      </c>
    </row>
    <row r="7" spans="1:4" x14ac:dyDescent="0.2">
      <c r="B7" s="6" t="s">
        <v>139</v>
      </c>
      <c r="C7" s="6" t="s">
        <v>149</v>
      </c>
    </row>
    <row r="8" spans="1:4" x14ac:dyDescent="0.2">
      <c r="B8" s="6" t="s">
        <v>140</v>
      </c>
      <c r="C8" s="6" t="s">
        <v>149</v>
      </c>
    </row>
    <row r="9" spans="1:4" x14ac:dyDescent="0.2">
      <c r="B9" s="6" t="s">
        <v>150</v>
      </c>
      <c r="C9" s="6" t="s">
        <v>149</v>
      </c>
    </row>
    <row r="10" spans="1:4" x14ac:dyDescent="0.2">
      <c r="B10" s="6" t="s">
        <v>151</v>
      </c>
      <c r="C10" s="6" t="s">
        <v>149</v>
      </c>
    </row>
    <row r="11" spans="1:4" x14ac:dyDescent="0.2">
      <c r="B11" s="6" t="s">
        <v>114</v>
      </c>
      <c r="C11" s="6" t="e" cm="1">
        <f t="array" ref="C11">NullValidador(procedure_name)</f>
        <v>#VALUE!</v>
      </c>
    </row>
    <row r="12" spans="1:4" x14ac:dyDescent="0.2">
      <c r="B12" s="6" t="s">
        <v>141</v>
      </c>
      <c r="C12" s="6" t="s">
        <v>149</v>
      </c>
    </row>
    <row r="13" spans="1:4" x14ac:dyDescent="0.2">
      <c r="B13" s="6" t="s">
        <v>142</v>
      </c>
      <c r="C13" s="6" t="s">
        <v>149</v>
      </c>
    </row>
    <row r="14" spans="1:4" x14ac:dyDescent="0.2">
      <c r="B14" s="6" t="s">
        <v>143</v>
      </c>
      <c r="C14" s="6" t="e" cm="1">
        <f t="array" ref="C14">NullValidador(setup_procedure_name)</f>
        <v>#VALUE!</v>
      </c>
    </row>
    <row r="15" spans="1:4" x14ac:dyDescent="0.2">
      <c r="B15" s="6" t="s">
        <v>144</v>
      </c>
      <c r="C15" s="6" t="s">
        <v>149</v>
      </c>
    </row>
    <row r="16" spans="1:4" x14ac:dyDescent="0.2">
      <c r="B16" s="6" t="s">
        <v>145</v>
      </c>
      <c r="C16" s="6" t="s">
        <v>149</v>
      </c>
    </row>
    <row r="17" spans="1:5" x14ac:dyDescent="0.2">
      <c r="B17" s="6" t="s">
        <v>147</v>
      </c>
      <c r="C17" s="6" t="e" cm="1">
        <f t="array" ref="C17">NullValidador(teardown_procedure_name)</f>
        <v>#VALUE!</v>
      </c>
    </row>
    <row r="18" spans="1:5" x14ac:dyDescent="0.2">
      <c r="B18" s="6" t="s">
        <v>146</v>
      </c>
      <c r="C18" s="6" t="s">
        <v>149</v>
      </c>
    </row>
    <row r="19" spans="1:5" x14ac:dyDescent="0.2">
      <c r="B19" s="6" t="s">
        <v>148</v>
      </c>
      <c r="C19" s="6" t="s">
        <v>149</v>
      </c>
    </row>
    <row r="20" spans="1:5" x14ac:dyDescent="0.2">
      <c r="A20" s="5" t="s">
        <v>80</v>
      </c>
      <c r="B20" s="5" t="s">
        <v>81</v>
      </c>
    </row>
    <row r="21" spans="1:5" x14ac:dyDescent="0.2">
      <c r="A21" s="5" t="s">
        <v>75</v>
      </c>
    </row>
    <row r="22" spans="1:5" x14ac:dyDescent="0.2">
      <c r="B22" s="6" t="s">
        <v>82</v>
      </c>
      <c r="C22" s="6" t="str" cm="1">
        <f t="array" ref="C22">NullValidador(sampler_class)</f>
        <v>RandomSampler</v>
      </c>
    </row>
    <row r="23" spans="1:5" x14ac:dyDescent="0.2">
      <c r="B23" s="6" t="s">
        <v>83</v>
      </c>
      <c r="C23" s="6"/>
    </row>
    <row r="24" spans="1:5" x14ac:dyDescent="0.2">
      <c r="B24" s="6"/>
      <c r="C24" s="7" t="s">
        <v>84</v>
      </c>
      <c r="D24" s="7" t="str" cm="1">
        <f t="array" ref="D24">NullValidador(n_startup_trials)</f>
        <v>10</v>
      </c>
      <c r="E24" s="5" t="s">
        <v>93</v>
      </c>
    </row>
    <row r="25" spans="1:5" x14ac:dyDescent="0.2">
      <c r="B25" s="6"/>
      <c r="C25" s="7" t="s">
        <v>167</v>
      </c>
      <c r="D25" s="7" t="str" cm="1">
        <f t="array" ref="D25">NullValidador(population_size)</f>
        <v>10</v>
      </c>
      <c r="E25" s="5" t="s">
        <v>93</v>
      </c>
    </row>
    <row r="26" spans="1:5" x14ac:dyDescent="0.2">
      <c r="A26" s="5" t="s">
        <v>76</v>
      </c>
    </row>
    <row r="27" spans="1:5" x14ac:dyDescent="0.2">
      <c r="B27" s="6" t="s">
        <v>85</v>
      </c>
      <c r="C27" s="6" t="str" cm="1">
        <f t="array" ref="C27">NullValidador(history_csv_path)</f>
        <v>sample\sample.csv</v>
      </c>
      <c r="D27" s="5" t="s">
        <v>93</v>
      </c>
    </row>
    <row r="28" spans="1:5" x14ac:dyDescent="0.2">
      <c r="A28" s="5" t="s">
        <v>77</v>
      </c>
    </row>
    <row r="29" spans="1:5" x14ac:dyDescent="0.2">
      <c r="B29" s="6" t="s">
        <v>86</v>
      </c>
      <c r="C29" s="6" t="str" cm="1">
        <f t="array" ref="C29">NullValidador(n_trials)</f>
        <v>20</v>
      </c>
      <c r="D29" s="5" t="s">
        <v>93</v>
      </c>
    </row>
    <row r="30" spans="1:5" x14ac:dyDescent="0.2">
      <c r="B30" s="6" t="s">
        <v>91</v>
      </c>
      <c r="C30" s="6" t="str" cm="1">
        <f t="array" ref="C30">NullValidador(timeout)</f>
        <v>null</v>
      </c>
      <c r="D30" s="5" t="s">
        <v>93</v>
      </c>
    </row>
    <row r="31" spans="1:5" x14ac:dyDescent="0.2">
      <c r="B31" s="6" t="s">
        <v>87</v>
      </c>
      <c r="C31" s="6" t="b">
        <v>0</v>
      </c>
      <c r="D31" s="5" t="s">
        <v>92</v>
      </c>
    </row>
    <row r="32" spans="1:5" x14ac:dyDescent="0.2">
      <c r="B32" s="6" t="s">
        <v>90</v>
      </c>
      <c r="C32" s="6" t="str" cm="1">
        <f t="array" ref="C32">NullValidador(n_parallel)</f>
        <v>1</v>
      </c>
      <c r="D32" s="5" t="s">
        <v>93</v>
      </c>
    </row>
    <row r="33" spans="1:3" x14ac:dyDescent="0.2">
      <c r="A33" s="5" t="s">
        <v>88</v>
      </c>
      <c r="B33" s="5" t="str" cm="1">
        <f t="array" ref="B33">NullValidador(seed)</f>
        <v>null</v>
      </c>
    </row>
    <row r="34" spans="1:3" x14ac:dyDescent="0.2">
      <c r="A34" s="5" t="s">
        <v>138</v>
      </c>
    </row>
    <row r="35" spans="1:3" x14ac:dyDescent="0.2">
      <c r="B35" s="8" t="str">
        <f>IF(additional_module_path = "", "", "-")</f>
        <v/>
      </c>
      <c r="C35" s="6" t="str">
        <f>IF(additional_module_path = "", "", additional_module_path)</f>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2B24-07F4-47B0-B3F6-1BA065ABFD75}">
  <sheetPr codeName="SYS_ShYAML2"/>
  <dimension ref="A1:E24"/>
  <sheetViews>
    <sheetView zoomScale="130" zoomScaleNormal="130" workbookViewId="0">
      <selection activeCell="C4" sqref="C4"/>
    </sheetView>
  </sheetViews>
  <sheetFormatPr defaultRowHeight="11.4" x14ac:dyDescent="0.2"/>
  <cols>
    <col min="1" max="1" width="19.75" style="5" customWidth="1"/>
    <col min="2" max="2" width="26.75" style="5" customWidth="1"/>
    <col min="3" max="3" width="60.5" style="5" customWidth="1"/>
    <col min="4" max="4" width="20.375" style="5" customWidth="1"/>
    <col min="5" max="16384" width="9" style="5"/>
  </cols>
  <sheetData>
    <row r="1" spans="1:5" x14ac:dyDescent="0.2">
      <c r="A1" s="5" t="s">
        <v>78</v>
      </c>
      <c r="B1" s="5" t="s">
        <v>168</v>
      </c>
      <c r="D1" s="5" t="s">
        <v>92</v>
      </c>
    </row>
    <row r="2" spans="1:5" x14ac:dyDescent="0.2">
      <c r="A2" s="5" t="s">
        <v>74</v>
      </c>
    </row>
    <row r="3" spans="1:5" x14ac:dyDescent="0.2">
      <c r="B3" s="6" t="s">
        <v>169</v>
      </c>
      <c r="C3" s="6" t="str">
        <f>B_train_history_path</f>
        <v>sample\sample.csv</v>
      </c>
    </row>
    <row r="4" spans="1:5" x14ac:dyDescent="0.2">
      <c r="B4" s="6" t="s">
        <v>106</v>
      </c>
      <c r="C4" s="6" t="str" cm="1">
        <f t="array" ref="C4">ThisWorkbookFilePath()</f>
        <v>E:\pyfemtet\pyfemtet\pyfemtet\opt\meta_script\YAML_Generator.xlsm</v>
      </c>
      <c r="D4" s="5" t="s">
        <v>92</v>
      </c>
    </row>
    <row r="5" spans="1:5" x14ac:dyDescent="0.2">
      <c r="B5" s="6" t="s">
        <v>107</v>
      </c>
      <c r="C5" s="6" t="str">
        <f>B_input_sheet_name</f>
        <v>最適化セットアップ2</v>
      </c>
    </row>
    <row r="6" spans="1:5" x14ac:dyDescent="0.2">
      <c r="B6" s="6" t="s">
        <v>139</v>
      </c>
      <c r="C6" s="6" t="s">
        <v>170</v>
      </c>
    </row>
    <row r="7" spans="1:5" x14ac:dyDescent="0.2">
      <c r="B7" s="6" t="s">
        <v>140</v>
      </c>
      <c r="C7" s="6" t="s">
        <v>170</v>
      </c>
    </row>
    <row r="8" spans="1:5" x14ac:dyDescent="0.2">
      <c r="B8" s="6" t="s">
        <v>150</v>
      </c>
      <c r="C8" s="6" t="s">
        <v>170</v>
      </c>
    </row>
    <row r="9" spans="1:5" x14ac:dyDescent="0.2">
      <c r="B9" s="6" t="s">
        <v>151</v>
      </c>
      <c r="C9" s="6" t="s">
        <v>170</v>
      </c>
    </row>
    <row r="10" spans="1:5" x14ac:dyDescent="0.2">
      <c r="A10" s="5" t="s">
        <v>80</v>
      </c>
      <c r="B10" s="5" t="s">
        <v>81</v>
      </c>
    </row>
    <row r="11" spans="1:5" x14ac:dyDescent="0.2">
      <c r="A11" s="5" t="s">
        <v>75</v>
      </c>
    </row>
    <row r="12" spans="1:5" x14ac:dyDescent="0.2">
      <c r="B12" s="6" t="s">
        <v>82</v>
      </c>
      <c r="C12" s="6" t="str" cm="1">
        <f t="array" ref="C12">NullValidador(B_sampler_class)</f>
        <v>TPESampler</v>
      </c>
    </row>
    <row r="13" spans="1:5" x14ac:dyDescent="0.2">
      <c r="B13" s="6" t="s">
        <v>83</v>
      </c>
      <c r="C13" s="6"/>
    </row>
    <row r="14" spans="1:5" x14ac:dyDescent="0.2">
      <c r="B14" s="6"/>
      <c r="C14" s="7" t="s">
        <v>84</v>
      </c>
      <c r="D14" s="7" t="str" cm="1">
        <f t="array" ref="D14">NullValidador(B_n_startup_trials)</f>
        <v>10</v>
      </c>
      <c r="E14" s="5" t="s">
        <v>93</v>
      </c>
    </row>
    <row r="15" spans="1:5" x14ac:dyDescent="0.2">
      <c r="B15" s="6"/>
      <c r="C15" s="7" t="s">
        <v>167</v>
      </c>
      <c r="D15" s="7" t="str" cm="1">
        <f t="array" ref="D15">NullValidador(B_population_size)</f>
        <v>10</v>
      </c>
      <c r="E15" s="5" t="s">
        <v>93</v>
      </c>
    </row>
    <row r="16" spans="1:5" x14ac:dyDescent="0.2">
      <c r="A16" s="5" t="s">
        <v>76</v>
      </c>
    </row>
    <row r="17" spans="1:4" x14ac:dyDescent="0.2">
      <c r="B17" s="6" t="s">
        <v>85</v>
      </c>
      <c r="C17" s="6" t="str" cm="1">
        <f t="array" ref="C17">NullValidador(B_history_path)</f>
        <v>sample\surrogate_sample.csv</v>
      </c>
      <c r="D17" s="5" t="s">
        <v>93</v>
      </c>
    </row>
    <row r="18" spans="1:4" x14ac:dyDescent="0.2">
      <c r="A18" s="5" t="s">
        <v>77</v>
      </c>
    </row>
    <row r="19" spans="1:4" x14ac:dyDescent="0.2">
      <c r="B19" s="6" t="s">
        <v>86</v>
      </c>
      <c r="C19" s="6" t="str" cm="1">
        <f t="array" ref="C19">NullValidador(B_n_trials)</f>
        <v>200</v>
      </c>
      <c r="D19" s="5" t="s">
        <v>93</v>
      </c>
    </row>
    <row r="20" spans="1:4" x14ac:dyDescent="0.2">
      <c r="B20" s="6" t="s">
        <v>91</v>
      </c>
      <c r="C20" s="6" t="str" cm="1">
        <f t="array" ref="C20">NullValidador(B_timeout)</f>
        <v>null</v>
      </c>
      <c r="D20" s="5" t="s">
        <v>93</v>
      </c>
    </row>
    <row r="21" spans="1:4" x14ac:dyDescent="0.2">
      <c r="B21" s="6" t="s">
        <v>87</v>
      </c>
      <c r="C21" s="6" t="b">
        <v>0</v>
      </c>
      <c r="D21" s="5" t="s">
        <v>92</v>
      </c>
    </row>
    <row r="22" spans="1:4" x14ac:dyDescent="0.2">
      <c r="B22" s="6" t="s">
        <v>90</v>
      </c>
      <c r="C22" s="6" t="str" cm="1">
        <f t="array" ref="C22">NullValidador(B_n_parallel)</f>
        <v>1</v>
      </c>
      <c r="D22" s="5" t="s">
        <v>93</v>
      </c>
    </row>
    <row r="23" spans="1:4" x14ac:dyDescent="0.2">
      <c r="A23" s="5" t="s">
        <v>88</v>
      </c>
      <c r="B23" s="5" t="str" cm="1">
        <f t="array" ref="B23">NullValidador(seed)</f>
        <v>null</v>
      </c>
    </row>
    <row r="24" spans="1:4" x14ac:dyDescent="0.2">
      <c r="A24" s="5" t="s">
        <v>138</v>
      </c>
      <c r="C24" s="5" t="s">
        <v>170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1B2D3-0AF3-4236-A0D4-EBA7978BF7F4}">
  <sheetPr codeName="SYS_ShYAML3"/>
  <dimension ref="A1:E33"/>
  <sheetViews>
    <sheetView topLeftCell="A5" zoomScale="130" zoomScaleNormal="130" workbookViewId="0">
      <selection activeCell="C33" sqref="C33"/>
    </sheetView>
  </sheetViews>
  <sheetFormatPr defaultRowHeight="11.4" x14ac:dyDescent="0.2"/>
  <cols>
    <col min="1" max="1" width="19.75" style="5" customWidth="1"/>
    <col min="2" max="2" width="26.75" style="5" customWidth="1"/>
    <col min="3" max="3" width="60.5" style="5" customWidth="1"/>
    <col min="4" max="4" width="20.375" style="5" customWidth="1"/>
    <col min="5" max="16384" width="9" style="5"/>
  </cols>
  <sheetData>
    <row r="1" spans="1:4" x14ac:dyDescent="0.2">
      <c r="A1" s="5" t="s">
        <v>78</v>
      </c>
      <c r="B1" s="5" t="s">
        <v>185</v>
      </c>
      <c r="D1" s="5" t="s">
        <v>92</v>
      </c>
    </row>
    <row r="2" spans="1:4" x14ac:dyDescent="0.2">
      <c r="A2" s="5" t="s">
        <v>74</v>
      </c>
    </row>
    <row r="3" spans="1:4" x14ac:dyDescent="0.2">
      <c r="B3" s="6" t="s">
        <v>106</v>
      </c>
      <c r="C3" s="6" t="str" cm="1">
        <f t="array" ref="C3">ThisWorkbookFilePath()</f>
        <v>E:\pyfemtet\pyfemtet\pyfemtet\opt\meta_script\YAML_Generator.xlsm</v>
      </c>
      <c r="D3" s="5" t="s">
        <v>92</v>
      </c>
    </row>
    <row r="4" spans="1:4" x14ac:dyDescent="0.2">
      <c r="B4" s="6" t="s">
        <v>107</v>
      </c>
      <c r="C4" s="6" t="str">
        <f>C_input_sheet_name</f>
        <v>最適化セットアップ3</v>
      </c>
    </row>
    <row r="5" spans="1:4" x14ac:dyDescent="0.2">
      <c r="B5" s="6" t="s">
        <v>139</v>
      </c>
      <c r="C5" s="6" t="s">
        <v>149</v>
      </c>
    </row>
    <row r="6" spans="1:4" x14ac:dyDescent="0.2">
      <c r="B6" s="6" t="s">
        <v>140</v>
      </c>
      <c r="C6" s="6" t="s">
        <v>149</v>
      </c>
    </row>
    <row r="7" spans="1:4" x14ac:dyDescent="0.2">
      <c r="B7" s="6" t="s">
        <v>150</v>
      </c>
      <c r="C7" s="6" t="s">
        <v>149</v>
      </c>
    </row>
    <row r="8" spans="1:4" x14ac:dyDescent="0.2">
      <c r="B8" s="6" t="s">
        <v>151</v>
      </c>
      <c r="C8" s="6" t="s">
        <v>149</v>
      </c>
    </row>
    <row r="9" spans="1:4" x14ac:dyDescent="0.2">
      <c r="B9" s="6" t="s">
        <v>114</v>
      </c>
      <c r="C9" s="6" t="str">
        <f>C_procedure_name</f>
        <v>FemtetMacro.FemtetMain</v>
      </c>
    </row>
    <row r="10" spans="1:4" x14ac:dyDescent="0.2">
      <c r="B10" s="6" t="s">
        <v>141</v>
      </c>
      <c r="C10" s="6" t="s">
        <v>149</v>
      </c>
    </row>
    <row r="11" spans="1:4" x14ac:dyDescent="0.2">
      <c r="B11" s="6" t="s">
        <v>142</v>
      </c>
      <c r="C11" s="6" t="s">
        <v>149</v>
      </c>
    </row>
    <row r="12" spans="1:4" x14ac:dyDescent="0.2">
      <c r="B12" s="6" t="s">
        <v>143</v>
      </c>
      <c r="C12" s="6" t="str" cm="1">
        <f t="array" ref="C12">NullValidador(C_setup_procedure_name)</f>
        <v>PrePostModule.LaunchFemtet</v>
      </c>
    </row>
    <row r="13" spans="1:4" x14ac:dyDescent="0.2">
      <c r="B13" s="6" t="s">
        <v>144</v>
      </c>
      <c r="C13" s="6" t="s">
        <v>149</v>
      </c>
    </row>
    <row r="14" spans="1:4" x14ac:dyDescent="0.2">
      <c r="B14" s="6" t="s">
        <v>145</v>
      </c>
      <c r="C14" s="6" t="s">
        <v>149</v>
      </c>
    </row>
    <row r="15" spans="1:4" x14ac:dyDescent="0.2">
      <c r="B15" s="6" t="s">
        <v>147</v>
      </c>
      <c r="C15" s="6" t="str" cm="1">
        <f t="array" ref="C15">NullValidador( C_teardown_procedure_name)</f>
        <v>PrePostModule.ExitFemtet</v>
      </c>
    </row>
    <row r="16" spans="1:4" x14ac:dyDescent="0.2">
      <c r="B16" s="6" t="s">
        <v>146</v>
      </c>
      <c r="C16" s="6" t="s">
        <v>149</v>
      </c>
    </row>
    <row r="17" spans="1:5" x14ac:dyDescent="0.2">
      <c r="B17" s="6" t="s">
        <v>148</v>
      </c>
      <c r="C17" s="6" t="s">
        <v>149</v>
      </c>
    </row>
    <row r="18" spans="1:5" x14ac:dyDescent="0.2">
      <c r="A18" s="5" t="s">
        <v>80</v>
      </c>
      <c r="B18" s="5" t="s">
        <v>81</v>
      </c>
    </row>
    <row r="19" spans="1:5" x14ac:dyDescent="0.2">
      <c r="A19" s="5" t="s">
        <v>75</v>
      </c>
    </row>
    <row r="20" spans="1:5" x14ac:dyDescent="0.2">
      <c r="B20" s="6" t="s">
        <v>82</v>
      </c>
      <c r="C20" s="6" t="str" cm="1">
        <f t="array" ref="C20">NullValidador(sampler_class)</f>
        <v>RandomSampler</v>
      </c>
    </row>
    <row r="21" spans="1:5" x14ac:dyDescent="0.2">
      <c r="B21" s="6" t="s">
        <v>83</v>
      </c>
      <c r="C21" s="6"/>
    </row>
    <row r="22" spans="1:5" x14ac:dyDescent="0.2">
      <c r="B22" s="6"/>
      <c r="C22" s="7" t="s">
        <v>84</v>
      </c>
      <c r="D22" s="7" t="str" cm="1">
        <f t="array" ref="D22">NullValidador(C_n_startup_trials)</f>
        <v>10</v>
      </c>
      <c r="E22" s="5" t="s">
        <v>93</v>
      </c>
    </row>
    <row r="23" spans="1:5" x14ac:dyDescent="0.2">
      <c r="B23" s="6"/>
      <c r="C23" s="7" t="s">
        <v>167</v>
      </c>
      <c r="D23" s="7" t="str" cm="1">
        <f t="array" ref="D23">NullValidador(C_population_size)</f>
        <v>10</v>
      </c>
      <c r="E23" s="5" t="s">
        <v>93</v>
      </c>
    </row>
    <row r="24" spans="1:5" x14ac:dyDescent="0.2">
      <c r="A24" s="5" t="s">
        <v>76</v>
      </c>
    </row>
    <row r="25" spans="1:5" x14ac:dyDescent="0.2">
      <c r="B25" s="6" t="s">
        <v>85</v>
      </c>
      <c r="C25" s="6" t="str" cm="1">
        <f t="array" ref="C25">NullValidador(C_history_path)</f>
        <v>sample\macro_sample.csv</v>
      </c>
      <c r="D25" s="5" t="s">
        <v>93</v>
      </c>
    </row>
    <row r="26" spans="1:5" x14ac:dyDescent="0.2">
      <c r="A26" s="5" t="s">
        <v>77</v>
      </c>
    </row>
    <row r="27" spans="1:5" x14ac:dyDescent="0.2">
      <c r="B27" s="6" t="s">
        <v>86</v>
      </c>
      <c r="C27" s="6" t="str" cm="1">
        <f t="array" ref="C27">NullValidador(C_n_trials)</f>
        <v>20</v>
      </c>
      <c r="D27" s="5" t="s">
        <v>93</v>
      </c>
    </row>
    <row r="28" spans="1:5" x14ac:dyDescent="0.2">
      <c r="B28" s="6" t="s">
        <v>91</v>
      </c>
      <c r="C28" s="6" t="str" cm="1">
        <f t="array" ref="C28">NullValidador(C_timeout)</f>
        <v>null</v>
      </c>
      <c r="D28" s="5" t="s">
        <v>93</v>
      </c>
    </row>
    <row r="29" spans="1:5" x14ac:dyDescent="0.2">
      <c r="B29" s="6" t="s">
        <v>87</v>
      </c>
      <c r="C29" s="6" t="b">
        <v>0</v>
      </c>
      <c r="D29" s="5" t="s">
        <v>92</v>
      </c>
    </row>
    <row r="30" spans="1:5" x14ac:dyDescent="0.2">
      <c r="B30" s="6" t="s">
        <v>90</v>
      </c>
      <c r="C30" s="6" t="str" cm="1">
        <f t="array" ref="C30">NullValidador(C_n_parallel)</f>
        <v>1</v>
      </c>
      <c r="D30" s="5" t="s">
        <v>93</v>
      </c>
    </row>
    <row r="31" spans="1:5" x14ac:dyDescent="0.2">
      <c r="A31" s="5" t="s">
        <v>88</v>
      </c>
      <c r="B31" s="5" t="str" cm="1">
        <f t="array" ref="B31">NullValidador(seed)</f>
        <v>null</v>
      </c>
    </row>
    <row r="32" spans="1:5" x14ac:dyDescent="0.2">
      <c r="A32" s="5" t="s">
        <v>138</v>
      </c>
    </row>
    <row r="33" spans="2:3" x14ac:dyDescent="0.2">
      <c r="B33" s="8" t="str">
        <f>IF(additional_module_path = "", "", "-")</f>
        <v/>
      </c>
      <c r="C33" s="6" t="str">
        <f>IF(additional_module_path = "", "", additional_module_path)</f>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0139F-ACE2-454B-A2CF-19C33232D1B4}">
  <sheetPr codeName="Sheet1">
    <outlinePr summaryBelow="0" summaryRight="0"/>
  </sheetPr>
  <dimension ref="B2:F59"/>
  <sheetViews>
    <sheetView showGridLines="0" workbookViewId="0">
      <selection activeCell="T9" sqref="T9"/>
    </sheetView>
  </sheetViews>
  <sheetFormatPr defaultRowHeight="11.4" outlineLevelRow="2" x14ac:dyDescent="0.2"/>
  <cols>
    <col min="1" max="1" width="11" customWidth="1"/>
  </cols>
  <sheetData>
    <row r="2" spans="2:3" s="1" customFormat="1" ht="19.8" thickBot="1" x14ac:dyDescent="0.25">
      <c r="B2" s="1" t="s">
        <v>19</v>
      </c>
    </row>
    <row r="3" spans="2:3" ht="12" thickTop="1" x14ac:dyDescent="0.2"/>
    <row r="4" spans="2:3" x14ac:dyDescent="0.2">
      <c r="C4" t="s">
        <v>73</v>
      </c>
    </row>
    <row r="6" spans="2:3" x14ac:dyDescent="0.2">
      <c r="C6" t="s">
        <v>21</v>
      </c>
    </row>
    <row r="7" spans="2:3" x14ac:dyDescent="0.2">
      <c r="C7" t="s">
        <v>20</v>
      </c>
    </row>
    <row r="8" spans="2:3" x14ac:dyDescent="0.2">
      <c r="C8" t="s">
        <v>22</v>
      </c>
    </row>
    <row r="9" spans="2:3" x14ac:dyDescent="0.2">
      <c r="C9" t="s">
        <v>23</v>
      </c>
    </row>
    <row r="11" spans="2:3" x14ac:dyDescent="0.2">
      <c r="C11" t="s">
        <v>24</v>
      </c>
    </row>
    <row r="13" spans="2:3" x14ac:dyDescent="0.2">
      <c r="C13" t="s">
        <v>25</v>
      </c>
    </row>
    <row r="14" spans="2:3" x14ac:dyDescent="0.2">
      <c r="C14" t="s">
        <v>45</v>
      </c>
    </row>
    <row r="15" spans="2:3" x14ac:dyDescent="0.2">
      <c r="C15" t="s">
        <v>46</v>
      </c>
    </row>
    <row r="18" spans="3:6" s="2" customFormat="1" ht="14.4" thickBot="1" x14ac:dyDescent="0.25">
      <c r="C18" s="2" t="s">
        <v>1</v>
      </c>
      <c r="F18" s="2" t="s">
        <v>72</v>
      </c>
    </row>
    <row r="20" spans="3:6" collapsed="1" x14ac:dyDescent="0.2">
      <c r="C20" t="s">
        <v>26</v>
      </c>
    </row>
    <row r="21" spans="3:6" hidden="1" outlineLevel="1" x14ac:dyDescent="0.2">
      <c r="C21" t="s">
        <v>27</v>
      </c>
    </row>
    <row r="22" spans="3:6" hidden="1" outlineLevel="1" x14ac:dyDescent="0.2">
      <c r="C22" t="s">
        <v>35</v>
      </c>
      <c r="F22" t="s">
        <v>48</v>
      </c>
    </row>
    <row r="23" spans="3:6" hidden="1" outlineLevel="1" x14ac:dyDescent="0.2">
      <c r="C23" t="s">
        <v>29</v>
      </c>
      <c r="F23" t="s">
        <v>42</v>
      </c>
    </row>
    <row r="24" spans="3:6" hidden="1" outlineLevel="1" x14ac:dyDescent="0.2">
      <c r="C24" t="s">
        <v>30</v>
      </c>
      <c r="F24" t="s">
        <v>43</v>
      </c>
    </row>
    <row r="25" spans="3:6" hidden="1" outlineLevel="1" x14ac:dyDescent="0.2">
      <c r="C25" t="s">
        <v>31</v>
      </c>
      <c r="F25" t="s">
        <v>44</v>
      </c>
    </row>
    <row r="26" spans="3:6" hidden="1" outlineLevel="1" x14ac:dyDescent="0.2">
      <c r="C26" t="s">
        <v>28</v>
      </c>
    </row>
    <row r="27" spans="3:6" hidden="1" outlineLevel="2" x14ac:dyDescent="0.2">
      <c r="C27" t="s">
        <v>32</v>
      </c>
      <c r="F27" t="s">
        <v>49</v>
      </c>
    </row>
    <row r="28" spans="3:6" hidden="1" outlineLevel="2" x14ac:dyDescent="0.2">
      <c r="F28" t="s">
        <v>50</v>
      </c>
    </row>
    <row r="29" spans="3:6" hidden="1" outlineLevel="2" x14ac:dyDescent="0.2">
      <c r="F29" t="s">
        <v>51</v>
      </c>
    </row>
    <row r="30" spans="3:6" hidden="1" outlineLevel="2" x14ac:dyDescent="0.2">
      <c r="C30" t="s">
        <v>33</v>
      </c>
      <c r="F30" t="s">
        <v>57</v>
      </c>
    </row>
    <row r="32" spans="3:6" collapsed="1" x14ac:dyDescent="0.2">
      <c r="C32" t="s">
        <v>34</v>
      </c>
    </row>
    <row r="33" spans="3:6" hidden="1" outlineLevel="1" x14ac:dyDescent="0.2">
      <c r="C33" t="s">
        <v>27</v>
      </c>
    </row>
    <row r="34" spans="3:6" hidden="1" outlineLevel="1" x14ac:dyDescent="0.2">
      <c r="C34" t="s">
        <v>36</v>
      </c>
      <c r="F34" t="s">
        <v>47</v>
      </c>
    </row>
    <row r="35" spans="3:6" hidden="1" outlineLevel="1" x14ac:dyDescent="0.2">
      <c r="C35" t="s">
        <v>29</v>
      </c>
      <c r="F35" t="s">
        <v>53</v>
      </c>
    </row>
    <row r="36" spans="3:6" hidden="1" outlineLevel="1" x14ac:dyDescent="0.2">
      <c r="F36" t="s">
        <v>54</v>
      </c>
    </row>
    <row r="37" spans="3:6" hidden="1" outlineLevel="1" x14ac:dyDescent="0.2">
      <c r="F37" t="s">
        <v>52</v>
      </c>
    </row>
    <row r="38" spans="3:6" hidden="1" outlineLevel="1" x14ac:dyDescent="0.2">
      <c r="C38" t="s">
        <v>37</v>
      </c>
      <c r="F38" t="s">
        <v>55</v>
      </c>
    </row>
    <row r="39" spans="3:6" hidden="1" outlineLevel="1" x14ac:dyDescent="0.2">
      <c r="C39" t="s">
        <v>28</v>
      </c>
    </row>
    <row r="40" spans="3:6" hidden="1" outlineLevel="2" x14ac:dyDescent="0.2">
      <c r="C40" t="s">
        <v>33</v>
      </c>
      <c r="F40" t="s">
        <v>56</v>
      </c>
    </row>
    <row r="42" spans="3:6" collapsed="1" x14ac:dyDescent="0.2">
      <c r="C42" t="s">
        <v>38</v>
      </c>
    </row>
    <row r="43" spans="3:6" hidden="1" outlineLevel="1" x14ac:dyDescent="0.2">
      <c r="C43" t="s">
        <v>27</v>
      </c>
    </row>
    <row r="44" spans="3:6" hidden="1" outlineLevel="1" x14ac:dyDescent="0.2">
      <c r="C44" t="s">
        <v>39</v>
      </c>
      <c r="F44" t="s">
        <v>58</v>
      </c>
    </row>
    <row r="45" spans="3:6" hidden="1" outlineLevel="1" x14ac:dyDescent="0.2">
      <c r="C45" t="s">
        <v>29</v>
      </c>
      <c r="F45" t="s">
        <v>59</v>
      </c>
    </row>
    <row r="46" spans="3:6" hidden="1" outlineLevel="1" x14ac:dyDescent="0.2"/>
    <row r="47" spans="3:6" hidden="1" outlineLevel="1" x14ac:dyDescent="0.2">
      <c r="F47" t="s">
        <v>61</v>
      </c>
    </row>
    <row r="48" spans="3:6" hidden="1" outlineLevel="1" x14ac:dyDescent="0.2">
      <c r="F48" t="s">
        <v>60</v>
      </c>
    </row>
    <row r="49" spans="3:6" hidden="1" outlineLevel="1" x14ac:dyDescent="0.2">
      <c r="F49" t="s">
        <v>62</v>
      </c>
    </row>
    <row r="50" spans="3:6" hidden="1" outlineLevel="1" x14ac:dyDescent="0.2">
      <c r="C50" t="s">
        <v>28</v>
      </c>
    </row>
    <row r="51" spans="3:6" hidden="1" outlineLevel="2" x14ac:dyDescent="0.2">
      <c r="C51" t="s">
        <v>30</v>
      </c>
      <c r="F51" t="s">
        <v>63</v>
      </c>
    </row>
    <row r="52" spans="3:6" hidden="1" outlineLevel="2" x14ac:dyDescent="0.2">
      <c r="C52" t="s">
        <v>31</v>
      </c>
      <c r="F52" t="s">
        <v>64</v>
      </c>
    </row>
    <row r="53" spans="3:6" hidden="1" outlineLevel="2" x14ac:dyDescent="0.2">
      <c r="C53" t="s">
        <v>40</v>
      </c>
      <c r="F53" t="s">
        <v>66</v>
      </c>
    </row>
    <row r="54" spans="3:6" hidden="1" outlineLevel="2" x14ac:dyDescent="0.2">
      <c r="F54" t="s">
        <v>67</v>
      </c>
    </row>
    <row r="55" spans="3:6" hidden="1" outlineLevel="2" x14ac:dyDescent="0.2">
      <c r="F55" t="s">
        <v>68</v>
      </c>
    </row>
    <row r="56" spans="3:6" hidden="1" outlineLevel="2" x14ac:dyDescent="0.2">
      <c r="F56" t="s">
        <v>69</v>
      </c>
    </row>
    <row r="57" spans="3:6" hidden="1" outlineLevel="2" x14ac:dyDescent="0.2">
      <c r="F57" t="s">
        <v>65</v>
      </c>
    </row>
    <row r="58" spans="3:6" hidden="1" outlineLevel="2" x14ac:dyDescent="0.2">
      <c r="C58" t="s">
        <v>33</v>
      </c>
      <c r="F58" t="s">
        <v>70</v>
      </c>
    </row>
    <row r="59" spans="3:6" hidden="1" outlineLevel="2" x14ac:dyDescent="0.2">
      <c r="C59" t="s">
        <v>41</v>
      </c>
      <c r="F59" t="s">
        <v>71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25"/>
  <sheetViews>
    <sheetView showGridLines="0" zoomScaleNormal="100" workbookViewId="0">
      <selection activeCell="N31" sqref="N31"/>
    </sheetView>
  </sheetViews>
  <sheetFormatPr defaultRowHeight="11.4" x14ac:dyDescent="0.2"/>
  <sheetData>
    <row r="2" spans="2:4" s="1" customFormat="1" ht="19.8" thickBot="1" x14ac:dyDescent="0.25">
      <c r="B2" s="1" t="s">
        <v>15</v>
      </c>
    </row>
    <row r="3" spans="2:4" ht="12" thickTop="1" x14ac:dyDescent="0.2"/>
    <row r="4" spans="2:4" x14ac:dyDescent="0.2">
      <c r="C4" t="s">
        <v>18</v>
      </c>
    </row>
    <row r="6" spans="2:4" x14ac:dyDescent="0.2">
      <c r="D6" t="s">
        <v>127</v>
      </c>
    </row>
    <row r="7" spans="2:4" x14ac:dyDescent="0.2">
      <c r="D7" t="s">
        <v>16</v>
      </c>
    </row>
    <row r="8" spans="2:4" x14ac:dyDescent="0.2">
      <c r="D8" t="s">
        <v>17</v>
      </c>
    </row>
    <row r="10" spans="2:4" x14ac:dyDescent="0.2">
      <c r="C10" t="s">
        <v>120</v>
      </c>
    </row>
    <row r="11" spans="2:4" x14ac:dyDescent="0.2">
      <c r="C11" t="s">
        <v>121</v>
      </c>
    </row>
    <row r="14" spans="2:4" s="1" customFormat="1" ht="19.8" thickBot="1" x14ac:dyDescent="0.25">
      <c r="B14" s="1" t="s">
        <v>94</v>
      </c>
    </row>
    <row r="15" spans="2:4" ht="12" thickTop="1" x14ac:dyDescent="0.2"/>
    <row r="16" spans="2:4" x14ac:dyDescent="0.2">
      <c r="C16" t="s">
        <v>95</v>
      </c>
    </row>
    <row r="17" spans="3:3" x14ac:dyDescent="0.2">
      <c r="C17" t="s">
        <v>96</v>
      </c>
    </row>
    <row r="18" spans="3:3" x14ac:dyDescent="0.2">
      <c r="C18" t="s">
        <v>97</v>
      </c>
    </row>
    <row r="19" spans="3:3" x14ac:dyDescent="0.2">
      <c r="C19" t="s">
        <v>98</v>
      </c>
    </row>
    <row r="20" spans="3:3" x14ac:dyDescent="0.2">
      <c r="C20" t="s">
        <v>99</v>
      </c>
    </row>
    <row r="21" spans="3:3" x14ac:dyDescent="0.2">
      <c r="C21" t="s">
        <v>100</v>
      </c>
    </row>
    <row r="22" spans="3:3" x14ac:dyDescent="0.2">
      <c r="C22" t="s">
        <v>101</v>
      </c>
    </row>
    <row r="23" spans="3:3" x14ac:dyDescent="0.2">
      <c r="C23" t="s">
        <v>102</v>
      </c>
    </row>
    <row r="24" spans="3:3" x14ac:dyDescent="0.2">
      <c r="C24" t="s">
        <v>103</v>
      </c>
    </row>
    <row r="25" spans="3:3" x14ac:dyDescent="0.2">
      <c r="C25" t="s">
        <v>104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36</vt:i4>
      </vt:variant>
    </vt:vector>
  </HeadingPairs>
  <TitlesOfParts>
    <vt:vector size="46" baseType="lpstr">
      <vt:lpstr>インストール</vt:lpstr>
      <vt:lpstr>最適化セットアップ</vt:lpstr>
      <vt:lpstr>最適化セットアップ2</vt:lpstr>
      <vt:lpstr>最適化セットアップ3</vt:lpstr>
      <vt:lpstr>実行設定</vt:lpstr>
      <vt:lpstr>yaml_Femtet</vt:lpstr>
      <vt:lpstr>yaml_GP</vt:lpstr>
      <vt:lpstr>yaml_Excel</vt:lpstr>
      <vt:lpstr>最適化セットアップシートの書式説明</vt:lpstr>
      <vt:lpstr>備考</vt:lpstr>
      <vt:lpstr>additional_module_path</vt:lpstr>
      <vt:lpstr>B_history_path</vt:lpstr>
      <vt:lpstr>B_input_sheet_name</vt:lpstr>
      <vt:lpstr>B_n_parallel</vt:lpstr>
      <vt:lpstr>B_n_startup_trials</vt:lpstr>
      <vt:lpstr>B_n_trials</vt:lpstr>
      <vt:lpstr>B_population_size</vt:lpstr>
      <vt:lpstr>B_sampler_class</vt:lpstr>
      <vt:lpstr>B_seed</vt:lpstr>
      <vt:lpstr>B_timeout</vt:lpstr>
      <vt:lpstr>B_train_history_path</vt:lpstr>
      <vt:lpstr>C_history_path</vt:lpstr>
      <vt:lpstr>C_input_sheet_name</vt:lpstr>
      <vt:lpstr>C_n_parallel</vt:lpstr>
      <vt:lpstr>C_n_startup_trials</vt:lpstr>
      <vt:lpstr>C_n_trials</vt:lpstr>
      <vt:lpstr>C_population_size</vt:lpstr>
      <vt:lpstr>C_procedure_name</vt:lpstr>
      <vt:lpstr>C_sampler_class</vt:lpstr>
      <vt:lpstr>C_seed</vt:lpstr>
      <vt:lpstr>C_setup_procedure_name</vt:lpstr>
      <vt:lpstr>C_teardown_procedure_name</vt:lpstr>
      <vt:lpstr>C_timeout</vt:lpstr>
      <vt:lpstr>femprj_path</vt:lpstr>
      <vt:lpstr>history_csv_path</vt:lpstr>
      <vt:lpstr>input_sheet_name</vt:lpstr>
      <vt:lpstr>model_name</vt:lpstr>
      <vt:lpstr>n_parallel</vt:lpstr>
      <vt:lpstr>n_startup_trials</vt:lpstr>
      <vt:lpstr>n_trials</vt:lpstr>
      <vt:lpstr>population_size</vt:lpstr>
      <vt:lpstr>python_exe_path</vt:lpstr>
      <vt:lpstr>sampler_class</vt:lpstr>
      <vt:lpstr>seed</vt:lpstr>
      <vt:lpstr>timeout</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ZZ_ML_00277@murata.com</cp:lastModifiedBy>
  <dcterms:created xsi:type="dcterms:W3CDTF">2024-12-06T06:35:48Z</dcterms:created>
  <dcterms:modified xsi:type="dcterms:W3CDTF">2025-03-06T01:42:29Z</dcterms:modified>
</cp:coreProperties>
</file>