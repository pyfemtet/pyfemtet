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mm11592\Documents\myFiles2\working\pyfemtet\pyfemtet\pyfemtet\opt\meta_script\"/>
    </mc:Choice>
  </mc:AlternateContent>
  <xr:revisionPtr revIDLastSave="0" documentId="13_ncr:1_{28A9C15D-843B-4256-8ABE-A734C7C2166B}" xr6:coauthVersionLast="47" xr6:coauthVersionMax="47" xr10:uidLastSave="{00000000-0000-0000-0000-000000000000}"/>
  <bookViews>
    <workbookView xWindow="-110" yWindow="-110" windowWidth="19420" windowHeight="11500" tabRatio="710" firstSheet="2" activeTab="8" xr2:uid="{FD7BED01-BDD1-4531-A4F6-3F37526DEC5F}"/>
  </bookViews>
  <sheets>
    <sheet name="インストール" sheetId="13" r:id="rId1"/>
    <sheet name="最適化セットアップ" sheetId="16" r:id="rId2"/>
    <sheet name="最適化セットアップ2" sheetId="18" r:id="rId3"/>
    <sheet name="最適化セットアップ3" sheetId="21" r:id="rId4"/>
    <sheet name="実行設定" sheetId="4" r:id="rId5"/>
    <sheet name="yaml_Femtet" sheetId="11" state="hidden" r:id="rId6"/>
    <sheet name="yaml_GP" sheetId="17" state="hidden" r:id="rId7"/>
    <sheet name="yaml_Excel" sheetId="20" state="hidden" r:id="rId8"/>
    <sheet name="最適化セットアップシートの書式説明" sheetId="10" r:id="rId9"/>
    <sheet name="備考" sheetId="9" r:id="rId10"/>
  </sheets>
  <functionGroups builtInGroupCount="19"/>
  <definedNames>
    <definedName name="additional_module_path">実行設定!$C$21</definedName>
    <definedName name="B_history_path">実行設定!$C$38</definedName>
    <definedName name="B_input_sheet_name">実行設定!$C$32</definedName>
    <definedName name="B_n_parallel">実行設定!$C$43</definedName>
    <definedName name="B_n_startup_trials">実行設定!$C$35</definedName>
    <definedName name="B_n_trials">実行設定!$C$40</definedName>
    <definedName name="B_population_size">実行設定!$C$36</definedName>
    <definedName name="B_sampler_class">実行設定!$C$34</definedName>
    <definedName name="B_seed">実行設定!$C$42</definedName>
    <definedName name="B_timeout">実行設定!$C$41</definedName>
    <definedName name="B_train_history_path">実行設定!$C$30</definedName>
    <definedName name="C_history_path">実行設定!$C$62</definedName>
    <definedName name="C_input_sheet_name">実行設定!$C$52</definedName>
    <definedName name="C_n_parallel">実行設定!$C$67</definedName>
    <definedName name="C_n_startup_trials">実行設定!$C$59</definedName>
    <definedName name="C_n_trials">実行設定!$C$64</definedName>
    <definedName name="C_population_size">実行設定!$C$60</definedName>
    <definedName name="C_procedure_name">実行設定!$C$55</definedName>
    <definedName name="C_sampler_class">実行設定!$C$58</definedName>
    <definedName name="C_seed">実行設定!$C$66</definedName>
    <definedName name="C_setup_procedure_name">実行設定!$C$54</definedName>
    <definedName name="C_teardown_procedure_name">実行設定!$C$56</definedName>
    <definedName name="C_timeout">実行設定!$C$65</definedName>
    <definedName name="constraint_sheet_name">実行設定!#REF!</definedName>
    <definedName name="femprj_path">実行設定!$C$6</definedName>
    <definedName name="functions_description_module_path">実行設定!#REF!</definedName>
    <definedName name="history_csv_path">実行設定!$C$14</definedName>
    <definedName name="input_sheet_name">実行設定!$C$8</definedName>
    <definedName name="input_xlsm_path">実行設定!#REF!</definedName>
    <definedName name="model_name">実行設定!$C$7</definedName>
    <definedName name="n_parallel">実行設定!$C$19</definedName>
    <definedName name="n_startup_trials">実行設定!$C$11</definedName>
    <definedName name="n_trials">実行設定!$C$16</definedName>
    <definedName name="output_sheet_name">実行設定!#REF!</definedName>
    <definedName name="population_size">実行設定!$C$12</definedName>
    <definedName name="procedure_name">実行設定!#REF!</definedName>
    <definedName name="python_exe_path">実行設定!$C$77</definedName>
    <definedName name="sampler_class">実行設定!$C$10</definedName>
    <definedName name="seed">実行設定!$C$18</definedName>
    <definedName name="setup_procedure_name">実行設定!#REF!</definedName>
    <definedName name="teardown_procedure_name">実行設定!#REF!</definedName>
    <definedName name="timeout">実行設定!$C$17</definedName>
    <definedName name="training_csv_path">実行設定!#REF!</definedName>
    <definedName name="version">インストール!$G$25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18" l="1"/>
  <c r="E19" i="16"/>
  <c r="E20" i="16"/>
  <c r="C9" i="20"/>
  <c r="C4" i="20"/>
  <c r="C32" i="20"/>
  <c r="B32" i="20"/>
  <c r="C5" i="17"/>
  <c r="C30" i="4"/>
  <c r="C3" i="17" s="1"/>
  <c r="C34" i="11"/>
  <c r="B34" i="11"/>
  <c r="C29" i="20" a="1"/>
  <c r="C28" i="20" a="1"/>
  <c r="C12" i="20" a="1"/>
  <c r="D23" i="20" a="1"/>
  <c r="C3" i="20" a="1"/>
  <c r="C20" i="20" a="1"/>
  <c r="C26" i="20" a="1"/>
  <c r="C25" i="20" a="1"/>
  <c r="C15" i="20" a="1"/>
  <c r="B30" i="20" a="1"/>
  <c r="D22" i="20" a="1"/>
  <c r="D15" i="17" a="1"/>
  <c r="C18" i="17" a="1"/>
  <c r="C21" i="17" a="1"/>
  <c r="C4" i="17" a="1"/>
  <c r="D14" i="17" a="1"/>
  <c r="C12" i="17" a="1"/>
  <c r="C20" i="17" a="1"/>
  <c r="B22" i="17" a="1"/>
  <c r="C17" i="17" a="1"/>
  <c r="C31" i="11" a="1"/>
  <c r="C5" i="11" a="1"/>
  <c r="C30" i="11" a="1"/>
  <c r="C28" i="11" a="1"/>
  <c r="C11" i="11" a="1"/>
  <c r="C17" i="11" a="1"/>
  <c r="D25" i="11" a="1"/>
  <c r="B32" i="11" a="1"/>
  <c r="D24" i="11" a="1"/>
  <c r="C27" i="11" a="1"/>
  <c r="C14" i="11" a="1"/>
  <c r="C22" i="11" a="1"/>
  <c r="C28" i="20" l="1"/>
  <c r="C26" i="20"/>
  <c r="C25" i="20"/>
  <c r="D23" i="20"/>
  <c r="D22" i="20"/>
  <c r="C29" i="20"/>
  <c r="C12" i="20"/>
  <c r="C15" i="20"/>
  <c r="C20" i="20"/>
  <c r="B30" i="20"/>
  <c r="C3" i="20"/>
  <c r="C20" i="17"/>
  <c r="C18" i="17"/>
  <c r="C17" i="17"/>
  <c r="C21" i="17"/>
  <c r="D15" i="17"/>
  <c r="D14" i="17"/>
  <c r="C12" i="17"/>
  <c r="C4" i="17"/>
  <c r="B22" i="17"/>
  <c r="C17" i="11"/>
  <c r="C14" i="11"/>
  <c r="D25" i="11"/>
  <c r="B32" i="11"/>
  <c r="C30" i="11"/>
  <c r="C22" i="11"/>
  <c r="C28" i="11"/>
  <c r="C27" i="11"/>
  <c r="C31" i="11"/>
  <c r="D24" i="11"/>
  <c r="C11" i="11"/>
  <c r="C5" i="11"/>
  <c r="C6" i="11" l="1"/>
  <c r="C3" i="11"/>
  <c r="C4" i="11" a="1"/>
  <c r="C4" i="1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<sst xmlns="http://schemas.openxmlformats.org/spreadsheetml/2006/main" count="389" uniqueCount="194">
  <si>
    <t>値</t>
    <rPh sb="0" eb="1">
      <t>アタイ</t>
    </rPh>
    <phoneticPr fontId="1"/>
  </si>
  <si>
    <t>項目</t>
    <rPh sb="0" eb="2">
      <t>コウモク</t>
    </rPh>
    <phoneticPr fontId="1"/>
  </si>
  <si>
    <t>設計変数</t>
    <rPh sb="0" eb="2">
      <t>セッケイ</t>
    </rPh>
    <rPh sb="2" eb="4">
      <t>ヘンスウ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</si>
  <si>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</si>
  <si>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</si>
  <si>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</si>
  <si>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</si>
  <si>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</si>
  <si>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変数名</t>
    <rPh sb="0" eb="3">
      <t>ヘンスウメイ</t>
    </rPh>
    <phoneticPr fontId="1"/>
  </si>
  <si>
    <t>下限</t>
    <rPh sb="0" eb="2">
      <t>カゲン</t>
    </rPh>
    <phoneticPr fontId="1"/>
  </si>
  <si>
    <t>上限</t>
    <rPh sb="0" eb="2">
      <t>ジョウゲン</t>
    </rPh>
    <phoneticPr fontId="1"/>
  </si>
  <si>
    <t>ステップ</t>
    <phoneticPr fontId="1"/>
  </si>
  <si>
    <t>試行数</t>
    <rPh sb="0" eb="2">
      <t>シコウ</t>
    </rPh>
    <rPh sb="2" eb="3">
      <t>スウ</t>
    </rPh>
    <phoneticPr fontId="1"/>
  </si>
  <si>
    <t>プロジェクトファイル名</t>
    <rPh sb="10" eb="11">
      <t>メイ</t>
    </rPh>
    <phoneticPr fontId="1"/>
  </si>
  <si>
    <t>解析モデル名</t>
    <rPh sb="0" eb="2">
      <t>カイセキ</t>
    </rPh>
    <rPh sb="5" eb="6">
      <t>メイ</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</si>
  <si>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</si>
  <si>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</si>
  <si>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</si>
  <si>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</si>
  <si>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</si>
  <si>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</si>
  <si>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</si>
  <si>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</si>
  <si>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</si>
  <si>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</si>
  <si>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</si>
  <si>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</si>
  <si>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</si>
  <si>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</si>
  <si>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</si>
  <si>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</si>
  <si>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</si>
  <si>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</si>
  <si>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</si>
  <si>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</si>
  <si>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</si>
  <si>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</si>
  <si>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</si>
  <si>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</si>
  <si>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</si>
  <si>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</si>
  <si>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</si>
  <si>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</si>
  <si>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</si>
  <si>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</si>
  <si>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</si>
  <si>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</si>
  <si>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</si>
  <si>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</si>
  <si>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</si>
  <si>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</si>
  <si>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</si>
  <si>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</si>
  <si>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</si>
  <si>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</si>
  <si>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</si>
  <si>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</si>
  <si>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</si>
  <si>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</si>
  <si>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</si>
  <si>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</si>
  <si>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</si>
  <si>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</si>
  <si>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</si>
  <si>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</si>
  <si>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</si>
  <si>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</si>
  <si>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</si>
  <si>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</si>
  <si>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</si>
  <si>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</si>
  <si>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</si>
  <si>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</si>
  <si>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シートのパース過程は以下の通りです。</t>
    <rPh sb="7" eb="9">
      <t>カテイ</t>
    </rPh>
    <phoneticPr fontId="1"/>
  </si>
  <si>
    <t>interface_kwargs:</t>
  </si>
  <si>
    <t>optimizer_kwargs:</t>
  </si>
  <si>
    <t>optimize_kwargs:</t>
  </si>
  <si>
    <t>interface_class:</t>
  </si>
  <si>
    <t>femprj_path:</t>
  </si>
  <si>
    <t>optimizer_class:</t>
  </si>
  <si>
    <t>OptunaOptimizer</t>
  </si>
  <si>
    <t>sampler_class:</t>
  </si>
  <si>
    <t>sampler_kwargs:</t>
  </si>
  <si>
    <t>n_startup_trials:</t>
  </si>
  <si>
    <t>history_path:</t>
  </si>
  <si>
    <t>n_trials:</t>
  </si>
  <si>
    <t>confirm_before_exit:</t>
  </si>
  <si>
    <t>seed:</t>
  </si>
  <si>
    <t>model_name:</t>
    <phoneticPr fontId="1"/>
  </si>
  <si>
    <t>n_parallel:</t>
    <phoneticPr fontId="1"/>
  </si>
  <si>
    <t>timeout:</t>
    <phoneticPr fontId="1"/>
  </si>
  <si>
    <t># 固定</t>
    <rPh sb="2" eb="4">
      <t>コテイ</t>
    </rPh>
    <phoneticPr fontId="1"/>
  </si>
  <si>
    <t># Optional</t>
    <phoneticPr fontId="1"/>
  </si>
  <si>
    <t>PyFemtet による最適化の流れ</t>
    <rPh sb="12" eb="15">
      <t>サイテキカ</t>
    </rPh>
    <rPh sb="16" eb="17">
      <t>ナガ</t>
    </rPh>
    <phoneticPr fontId="1"/>
  </si>
  <si>
    <t>PyFemtet による最適化の流れは以下の通りです。</t>
    <rPh sb="12" eb="15">
      <t>サイテキカ</t>
    </rPh>
    <rPh sb="16" eb="17">
      <t>ナガ</t>
    </rPh>
    <rPh sb="19" eb="21">
      <t>イカ</t>
    </rPh>
    <rPh sb="22" eb="23">
      <t>トオ</t>
    </rPh>
    <phoneticPr fontId="1"/>
  </si>
  <si>
    <t>1. 新しい設計変数を提案する(又は初期値)</t>
    <phoneticPr fontId="1"/>
  </si>
  <si>
    <t>2. 「厳密な拘束関数」を評価する</t>
    <rPh sb="4" eb="6">
      <t>ゲンミツ</t>
    </rPh>
    <rPh sb="7" eb="9">
      <t>コウソク</t>
    </rPh>
    <rPh sb="9" eb="11">
      <t>カンスウ</t>
    </rPh>
    <rPh sb="13" eb="15">
      <t>ヒョウカ</t>
    </rPh>
    <phoneticPr fontId="1"/>
  </si>
  <si>
    <t>3. 拘束違反が合った場合、1 に戻る</t>
    <rPh sb="3" eb="5">
      <t>コウソク</t>
    </rPh>
    <rPh sb="5" eb="7">
      <t>イハン</t>
    </rPh>
    <rPh sb="8" eb="9">
      <t>ア</t>
    </rPh>
    <rPh sb="11" eb="13">
      <t>バアイ</t>
    </rPh>
    <rPh sb="17" eb="18">
      <t>モド</t>
    </rPh>
    <phoneticPr fontId="1"/>
  </si>
  <si>
    <t>4. モデルを再構築し解析を実行する</t>
    <rPh sb="7" eb="10">
      <t>サイコウチク</t>
    </rPh>
    <rPh sb="11" eb="13">
      <t>カイセキ</t>
    </rPh>
    <rPh sb="14" eb="16">
      <t>ジッコウ</t>
    </rPh>
    <phoneticPr fontId="1"/>
  </si>
  <si>
    <t>5. 4. の過程にエラーがあれば 1 に戻る</t>
    <rPh sb="7" eb="9">
      <t>カテイ</t>
    </rPh>
    <rPh sb="21" eb="22">
      <t>モド</t>
    </rPh>
    <phoneticPr fontId="1"/>
  </si>
  <si>
    <t>6. 目的関数を評価する</t>
    <rPh sb="3" eb="5">
      <t>モクテキ</t>
    </rPh>
    <rPh sb="5" eb="7">
      <t>カンスウ</t>
    </rPh>
    <rPh sb="8" eb="10">
      <t>ヒョウカ</t>
    </rPh>
    <phoneticPr fontId="1"/>
  </si>
  <si>
    <t>7. 「厳密な拘束関数」以外の拘束を評価する</t>
    <rPh sb="4" eb="6">
      <t>ゲンミツ</t>
    </rPh>
    <rPh sb="7" eb="9">
      <t>コウソク</t>
    </rPh>
    <rPh sb="9" eb="11">
      <t>カンスウ</t>
    </rPh>
    <rPh sb="12" eb="14">
      <t>イガイ</t>
    </rPh>
    <rPh sb="15" eb="17">
      <t>コウソク</t>
    </rPh>
    <rPh sb="18" eb="20">
      <t>ヒョウカ</t>
    </rPh>
    <phoneticPr fontId="1"/>
  </si>
  <si>
    <t>8. 設計変数と目的関数、拘束関数の値の履歴を考慮し、新しい設計変数を提案する（= 1 に戻る）</t>
    <rPh sb="3" eb="5">
      <t>セッケイ</t>
    </rPh>
    <rPh sb="5" eb="7">
      <t>ヘンスウ</t>
    </rPh>
    <rPh sb="8" eb="10">
      <t>モクテキ</t>
    </rPh>
    <rPh sb="10" eb="12">
      <t>カンスウ</t>
    </rPh>
    <rPh sb="13" eb="15">
      <t>コウソク</t>
    </rPh>
    <rPh sb="15" eb="17">
      <t>カンスウ</t>
    </rPh>
    <rPh sb="18" eb="19">
      <t>アタイ</t>
    </rPh>
    <rPh sb="20" eb="22">
      <t>リレキ</t>
    </rPh>
    <rPh sb="23" eb="25">
      <t>コウリョ</t>
    </rPh>
    <rPh sb="27" eb="28">
      <t>アタラ</t>
    </rPh>
    <rPh sb="30" eb="32">
      <t>セッケイ</t>
    </rPh>
    <rPh sb="32" eb="34">
      <t>ヘンスウ</t>
    </rPh>
    <rPh sb="35" eb="37">
      <t>テイアン</t>
    </rPh>
    <rPh sb="45" eb="46">
      <t>モド</t>
    </rPh>
    <phoneticPr fontId="1"/>
  </si>
  <si>
    <t>このように 1~8 の過程を繰り返すことで、目的関数が所望の値になるような設計変数を探索します。</t>
    <rPh sb="11" eb="13">
      <t>カテイ</t>
    </rPh>
    <rPh sb="14" eb="15">
      <t>ク</t>
    </rPh>
    <rPh sb="16" eb="17">
      <t>カエ</t>
    </rPh>
    <rPh sb="22" eb="24">
      <t>モクテキ</t>
    </rPh>
    <rPh sb="24" eb="26">
      <t>カンスウ</t>
    </rPh>
    <rPh sb="27" eb="29">
      <t>ショモウ</t>
    </rPh>
    <rPh sb="30" eb="31">
      <t>アタイ</t>
    </rPh>
    <rPh sb="37" eb="39">
      <t>セッケイ</t>
    </rPh>
    <rPh sb="39" eb="41">
      <t>ヘンスウ</t>
    </rPh>
    <rPh sb="42" eb="44">
      <t>タンサク</t>
    </rPh>
    <phoneticPr fontId="1"/>
  </si>
  <si>
    <t>初期ランダム試行数</t>
    <rPh sb="0" eb="2">
      <t>ショキ</t>
    </rPh>
    <rPh sb="6" eb="8">
      <t>シコウ</t>
    </rPh>
    <rPh sb="8" eb="9">
      <t>スウ</t>
    </rPh>
    <phoneticPr fontId="1"/>
  </si>
  <si>
    <t>input_xlsm_path:</t>
    <phoneticPr fontId="1"/>
  </si>
  <si>
    <t>input_sheet_name:</t>
    <phoneticPr fontId="1"/>
  </si>
  <si>
    <t># 固定</t>
    <rPh sb="2" eb="4">
      <t>コテイ</t>
    </rPh>
    <phoneticPr fontId="1"/>
  </si>
  <si>
    <t>RandomSampler</t>
    <phoneticPr fontId="1"/>
  </si>
  <si>
    <t>結果 csv 名</t>
    <rPh sb="0" eb="2">
      <t>ケッカ</t>
    </rPh>
    <rPh sb="7" eb="8">
      <t>メイ</t>
    </rPh>
    <phoneticPr fontId="1"/>
  </si>
  <si>
    <t>Python 実行環境</t>
    <rPh sb="7" eb="9">
      <t>ジッコウ</t>
    </rPh>
    <rPh sb="9" eb="11">
      <t>カンキョウ</t>
    </rPh>
    <phoneticPr fontId="1"/>
  </si>
  <si>
    <t>実行パス</t>
    <rPh sb="0" eb="2">
      <t>ジッコウ</t>
    </rPh>
    <phoneticPr fontId="1"/>
  </si>
  <si>
    <t>このファイルの場所からの相対パス</t>
    <rPh sb="7" eb="9">
      <t>バショ</t>
    </rPh>
    <rPh sb="12" eb="14">
      <t>ソウタイ</t>
    </rPh>
    <phoneticPr fontId="1"/>
  </si>
  <si>
    <t>procedure_name:</t>
    <phoneticPr fontId="1"/>
  </si>
  <si>
    <t>インストールできている場合、下記の画面が表示されます。</t>
    <rPh sb="11" eb="13">
      <t>バアイ</t>
    </rPh>
    <rPh sb="14" eb="16">
      <t>カキ</t>
    </rPh>
    <rPh sb="17" eb="19">
      <t>ガメン</t>
    </rPh>
    <rPh sb="20" eb="22">
      <t>ヒョウジ</t>
    </rPh>
    <phoneticPr fontId="1"/>
  </si>
  <si>
    <t>付属 Python 環境とは：</t>
    <rPh sb="0" eb="2">
      <t>フゾク</t>
    </rPh>
    <rPh sb="10" eb="12">
      <t>カンキョウ</t>
    </rPh>
    <phoneticPr fontId="1"/>
  </si>
  <si>
    <t>&lt;この Excel のあるフォルダ&gt;\Python\python-3.12.9-embed-amd64 フォルダにある Python 環境です。</t>
    <rPh sb="67" eb="69">
      <t>カンキョウ</t>
    </rPh>
    <phoneticPr fontId="1"/>
  </si>
  <si>
    <t>「実行設定」シートで既存の Python 環境を指定している場合は左の操作は不要です。</t>
    <rPh sb="1" eb="3">
      <t>ジッコウ</t>
    </rPh>
    <rPh sb="3" eb="5">
      <t>セッテイ</t>
    </rPh>
    <rPh sb="10" eb="12">
      <t>キゾン</t>
    </rPh>
    <rPh sb="21" eb="23">
      <t>カンキョウ</t>
    </rPh>
    <rPh sb="24" eb="26">
      <t>シテイ</t>
    </rPh>
    <rPh sb="30" eb="32">
      <t>バアイ</t>
    </rPh>
    <rPh sb="33" eb="34">
      <t>ヒダリ</t>
    </rPh>
    <rPh sb="35" eb="37">
      <t>ソウサ</t>
    </rPh>
    <rPh sb="38" eb="40">
      <t>フヨウ</t>
    </rPh>
    <phoneticPr fontId="1"/>
  </si>
  <si>
    <t>空欄の場合「付属の Python 環境」を使用
詳細は「インストール」シートを参照のこと。</t>
    <rPh sb="0" eb="2">
      <t>クウラン</t>
    </rPh>
    <rPh sb="3" eb="5">
      <t>バアイ</t>
    </rPh>
    <rPh sb="6" eb="8">
      <t>フゾク</t>
    </rPh>
    <rPh sb="17" eb="19">
      <t>カンキョウ</t>
    </rPh>
    <rPh sb="21" eb="23">
      <t>シヨウ</t>
    </rPh>
    <rPh sb="24" eb="26">
      <t>ショウサイ</t>
    </rPh>
    <rPh sb="39" eb="41">
      <t>サンショウ</t>
    </rPh>
    <phoneticPr fontId="1"/>
  </si>
  <si>
    <t>「インストール」シートからインストールを行うことで、</t>
    <rPh sb="20" eb="21">
      <t>オコナ</t>
    </rPh>
    <phoneticPr fontId="1"/>
  </si>
  <si>
    <t>Excel と一緒に配布している付属の Python 環境を使うこともできます。</t>
    <rPh sb="7" eb="9">
      <t>イッショ</t>
    </rPh>
    <rPh sb="10" eb="12">
      <t>ハイフ</t>
    </rPh>
    <rPh sb="16" eb="18">
      <t>フゾク</t>
    </rPh>
    <rPh sb="27" eb="29">
      <t>カンキョウ</t>
    </rPh>
    <rPh sb="30" eb="31">
      <t>ツカ</t>
    </rPh>
    <phoneticPr fontId="1"/>
  </si>
  <si>
    <t>目的関数または
拘束関数を定義した
python ファイル</t>
    <phoneticPr fontId="1"/>
  </si>
  <si>
    <t>python ファイルを指定した場合、その内容をロード。
ただし、書式は右記の注意を参照</t>
    <rPh sb="36" eb="38">
      <t>ウキ</t>
    </rPh>
    <phoneticPr fontId="1"/>
  </si>
  <si>
    <t>目的名</t>
    <rPh sb="0" eb="2">
      <t>モクテキ</t>
    </rPh>
    <rPh sb="2" eb="3">
      <t>メイ</t>
    </rPh>
    <phoneticPr fontId="1"/>
  </si>
  <si>
    <t>目標</t>
    <rPh sb="0" eb="2">
      <t>モクヒョウ</t>
    </rPh>
    <phoneticPr fontId="1"/>
  </si>
  <si>
    <t>使用</t>
    <rPh sb="0" eb="2">
      <t>シヨウ</t>
    </rPh>
    <phoneticPr fontId="1"/>
  </si>
  <si>
    <t>PyFemtet 0.8.11 以上をインストールされた Python 環境</t>
    <rPh sb="16" eb="18">
      <t>イジョウ</t>
    </rPh>
    <rPh sb="36" eb="38">
      <t>カンキョウ</t>
    </rPh>
    <phoneticPr fontId="1"/>
  </si>
  <si>
    <t>目的関数</t>
    <rPh sb="0" eb="2">
      <t>モクテキ</t>
    </rPh>
    <rPh sb="2" eb="4">
      <t>カンスウ</t>
    </rPh>
    <phoneticPr fontId="1"/>
  </si>
  <si>
    <t>拘束関数</t>
    <rPh sb="0" eb="2">
      <t>コウソク</t>
    </rPh>
    <rPh sb="2" eb="4">
      <t>カンスウ</t>
    </rPh>
    <phoneticPr fontId="1"/>
  </si>
  <si>
    <t>拘束名</t>
    <rPh sb="0" eb="2">
      <t>コウソク</t>
    </rPh>
    <rPh sb="2" eb="3">
      <t>メイ</t>
    </rPh>
    <phoneticPr fontId="1"/>
  </si>
  <si>
    <t>厳守</t>
    <rPh sb="0" eb="2">
      <t>ゲンシュ</t>
    </rPh>
    <phoneticPr fontId="1"/>
  </si>
  <si>
    <t>パラメトリック結果出力1</t>
    <rPh sb="7" eb="9">
      <t>ケッカ</t>
    </rPh>
    <rPh sb="9" eb="11">
      <t>シュツリョク</t>
    </rPh>
    <phoneticPr fontId="1"/>
  </si>
  <si>
    <t>拘束1</t>
    <rPh sb="0" eb="2">
      <t>コウソク</t>
    </rPh>
    <phoneticPr fontId="1"/>
  </si>
  <si>
    <t>拘束2</t>
    <rPh sb="0" eb="2">
      <t>コウソク</t>
    </rPh>
    <phoneticPr fontId="1"/>
  </si>
  <si>
    <t>minimize</t>
    <phoneticPr fontId="1"/>
  </si>
  <si>
    <t>FemtetWithExcelSettingsInterface</t>
    <phoneticPr fontId="1"/>
  </si>
  <si>
    <t>最適化セットアップ</t>
    <rPh sb="0" eb="3">
      <t>サイテキカ</t>
    </rPh>
    <phoneticPr fontId="1"/>
  </si>
  <si>
    <t>additional_module_paths:</t>
    <phoneticPr fontId="1"/>
  </si>
  <si>
    <t>output_xlsm_path:</t>
    <phoneticPr fontId="1"/>
  </si>
  <si>
    <t>output_sheet_name:</t>
    <phoneticPr fontId="1"/>
  </si>
  <si>
    <t>procedure_args:</t>
    <phoneticPr fontId="1"/>
  </si>
  <si>
    <t>setup_xlsm_path:</t>
    <phoneticPr fontId="1"/>
  </si>
  <si>
    <t>setup_procedure_name:</t>
    <phoneticPr fontId="1"/>
  </si>
  <si>
    <t>setup_procedure_args:</t>
    <phoneticPr fontId="1"/>
  </si>
  <si>
    <t>teardown_xlsm_path:</t>
    <phoneticPr fontId="1"/>
  </si>
  <si>
    <t>teardown_procedure_args:</t>
    <phoneticPr fontId="1"/>
  </si>
  <si>
    <t>teardown_procedure_name:</t>
    <phoneticPr fontId="1"/>
  </si>
  <si>
    <t>related_file_paths:</t>
    <phoneticPr fontId="1"/>
  </si>
  <si>
    <t>null</t>
    <phoneticPr fontId="1"/>
  </si>
  <si>
    <t>constraint_xlsm_path:</t>
    <phoneticPr fontId="1"/>
  </si>
  <si>
    <t>constraint_sheet_name:</t>
    <phoneticPr fontId="1"/>
  </si>
  <si>
    <t>このシートを編集する際は、「最適化セットアップシートの書式説明」のフォーマット説明を呼んで</t>
    <rPh sb="6" eb="8">
      <t>ヘンシュウ</t>
    </rPh>
    <rPh sb="10" eb="11">
      <t>サイ</t>
    </rPh>
    <rPh sb="14" eb="17">
      <t>サイテキカ</t>
    </rPh>
    <rPh sb="27" eb="29">
      <t>ショシキ</t>
    </rPh>
    <rPh sb="29" eb="31">
      <t>セツメイ</t>
    </rPh>
    <rPh sb="39" eb="41">
      <t>セツメイ</t>
    </rPh>
    <rPh sb="42" eb="43">
      <t>ヨ</t>
    </rPh>
    <phoneticPr fontId="1"/>
  </si>
  <si>
    <t>表の編集をしてください。</t>
    <rPh sb="0" eb="1">
      <t>ヒョウ</t>
    </rPh>
    <rPh sb="2" eb="4">
      <t>ヘンシュウ</t>
    </rPh>
    <phoneticPr fontId="1"/>
  </si>
  <si>
    <t>Optional</t>
    <phoneticPr fontId="1"/>
  </si>
  <si>
    <t>メインマクロ関数名</t>
    <rPh sb="6" eb="8">
      <t>カンスウ</t>
    </rPh>
    <rPh sb="8" eb="9">
      <t>メイ</t>
    </rPh>
    <phoneticPr fontId="1"/>
  </si>
  <si>
    <t>Optional: 最適化の各試行のたびに実行したいマクロ関数名</t>
    <rPh sb="10" eb="13">
      <t>サイテキカ</t>
    </rPh>
    <rPh sb="14" eb="15">
      <t>カク</t>
    </rPh>
    <rPh sb="15" eb="17">
      <t>シコウ</t>
    </rPh>
    <rPh sb="21" eb="23">
      <t>ジッコウ</t>
    </rPh>
    <rPh sb="29" eb="31">
      <t>カンスウ</t>
    </rPh>
    <rPh sb="31" eb="32">
      <t>メイ</t>
    </rPh>
    <phoneticPr fontId="1"/>
  </si>
  <si>
    <t>セットアップマクロ関数名</t>
    <rPh sb="9" eb="12">
      <t>カンスウメイ</t>
    </rPh>
    <phoneticPr fontId="1"/>
  </si>
  <si>
    <t>Optional: 最適化全体の実行前に実行したいマクロ関数名</t>
    <rPh sb="10" eb="13">
      <t>サイテキカ</t>
    </rPh>
    <rPh sb="13" eb="15">
      <t>ゼンタイ</t>
    </rPh>
    <rPh sb="16" eb="18">
      <t>ジッコウ</t>
    </rPh>
    <rPh sb="18" eb="19">
      <t>マエ</t>
    </rPh>
    <rPh sb="20" eb="22">
      <t>ジッコウ</t>
    </rPh>
    <rPh sb="28" eb="31">
      <t>カンスウメイ</t>
    </rPh>
    <phoneticPr fontId="1"/>
  </si>
  <si>
    <t>終了マクロ関数名</t>
    <rPh sb="0" eb="2">
      <t>シュウリョウ</t>
    </rPh>
    <rPh sb="5" eb="8">
      <t>カンスウメイ</t>
    </rPh>
    <phoneticPr fontId="1"/>
  </si>
  <si>
    <t>Optional: 最適化終了時に実行したいマクロ関数名</t>
    <rPh sb="10" eb="13">
      <t>サイテキカ</t>
    </rPh>
    <rPh sb="13" eb="16">
      <t>シュウリョウジ</t>
    </rPh>
    <rPh sb="17" eb="19">
      <t>ジッコウ</t>
    </rPh>
    <rPh sb="25" eb="28">
      <t>カンスウメイ</t>
    </rPh>
    <phoneticPr fontId="1"/>
  </si>
  <si>
    <t>最適化手法</t>
    <rPh sb="0" eb="3">
      <t>サイテキカ</t>
    </rPh>
    <rPh sb="3" eb="5">
      <t>シュホウ</t>
    </rPh>
    <phoneticPr fontId="1"/>
  </si>
  <si>
    <t>RandomSampler, TPESampler, NSGAIISampler, PoFBoTorchSampler から選択</t>
    <rPh sb="62" eb="64">
      <t>センタク</t>
    </rPh>
    <phoneticPr fontId="1"/>
  </si>
  <si>
    <t>1世代あたり個体数</t>
    <rPh sb="1" eb="3">
      <t>セダイ</t>
    </rPh>
    <rPh sb="6" eb="9">
      <t>コタイスウ</t>
    </rPh>
    <phoneticPr fontId="1"/>
  </si>
  <si>
    <t>1 世代あたりの個体数。NSGAIISampler の場合に使用。</t>
    <rPh sb="2" eb="4">
      <t>セダイ</t>
    </rPh>
    <rPh sb="8" eb="11">
      <t>コタイスウ</t>
    </rPh>
    <rPh sb="27" eb="29">
      <t>バアイ</t>
    </rPh>
    <rPh sb="30" eb="32">
      <t>シヨウ</t>
    </rPh>
    <phoneticPr fontId="1"/>
  </si>
  <si>
    <t>初期ランダム試行数。TPESampler, PoFBoTorchSampler の場合に使用。</t>
    <rPh sb="0" eb="2">
      <t>ショキ</t>
    </rPh>
    <rPh sb="6" eb="8">
      <t>シコウ</t>
    </rPh>
    <rPh sb="8" eb="9">
      <t>スウ</t>
    </rPh>
    <rPh sb="41" eb="43">
      <t>バアイ</t>
    </rPh>
    <rPh sb="44" eb="46">
      <t>シヨウ</t>
    </rPh>
    <phoneticPr fontId="1"/>
  </si>
  <si>
    <t>Optional: このファイルの場所からの相対パス。
存在するファイルを指定した場合は続きから。
ただしその場合、最適化のセットアップシートを変更しないこと。</t>
    <rPh sb="17" eb="19">
      <t>バショ</t>
    </rPh>
    <rPh sb="22" eb="24">
      <t>ソウタイ</t>
    </rPh>
    <rPh sb="28" eb="30">
      <t>ソンザイ</t>
    </rPh>
    <rPh sb="37" eb="39">
      <t>シテイ</t>
    </rPh>
    <rPh sb="41" eb="43">
      <t>バアイ</t>
    </rPh>
    <rPh sb="44" eb="45">
      <t>ツヅ</t>
    </rPh>
    <rPh sb="55" eb="57">
      <t>バアイ</t>
    </rPh>
    <rPh sb="58" eb="61">
      <t>サイテキカ</t>
    </rPh>
    <rPh sb="72" eb="74">
      <t>ヘンコウ</t>
    </rPh>
    <phoneticPr fontId="1"/>
  </si>
  <si>
    <t>population_size:</t>
    <phoneticPr fontId="1"/>
  </si>
  <si>
    <t>PoFBoTorchInterfaceWithExcelSettingsInterface</t>
    <phoneticPr fontId="1"/>
  </si>
  <si>
    <t>history_path:</t>
    <phoneticPr fontId="1"/>
  </si>
  <si>
    <t>null</t>
    <phoneticPr fontId="1"/>
  </si>
  <si>
    <t>サロゲート最適化</t>
    <rPh sb="5" eb="8">
      <t>サイテキカ</t>
    </rPh>
    <phoneticPr fontId="1"/>
  </si>
  <si>
    <t>訓練データ csv 名</t>
    <rPh sb="0" eb="2">
      <t>クンレン</t>
    </rPh>
    <rPh sb="10" eb="11">
      <t>メイ</t>
    </rPh>
    <phoneticPr fontId="1"/>
  </si>
  <si>
    <t>モデルを作るもとにしたい結果 csv 名を指定</t>
    <rPh sb="4" eb="5">
      <t>ツク</t>
    </rPh>
    <rPh sb="12" eb="14">
      <t>ケッカ</t>
    </rPh>
    <rPh sb="19" eb="20">
      <t>メイ</t>
    </rPh>
    <rPh sb="21" eb="23">
      <t>シテイ</t>
    </rPh>
    <phoneticPr fontId="1"/>
  </si>
  <si>
    <t>最適化セットアップ2</t>
    <rPh sb="0" eb="3">
      <t>サイテキカ</t>
    </rPh>
    <phoneticPr fontId="1"/>
  </si>
  <si>
    <t>PrePostModule.LaunchFemtet</t>
    <phoneticPr fontId="1"/>
  </si>
  <si>
    <t>PrePostModule.ExitFemtet</t>
    <phoneticPr fontId="1"/>
  </si>
  <si>
    <t>coil_radius</t>
  </si>
  <si>
    <t>n_turns</t>
  </si>
  <si>
    <t>sample\sample.femprj</t>
    <phoneticPr fontId="1"/>
  </si>
  <si>
    <t>sample\sample.csv</t>
    <phoneticPr fontId="1"/>
  </si>
  <si>
    <t>マクロを用いない最適化</t>
    <rPh sb="4" eb="5">
      <t>モチ</t>
    </rPh>
    <rPh sb="8" eb="11">
      <t>サイテキカ</t>
    </rPh>
    <phoneticPr fontId="1"/>
  </si>
  <si>
    <t>マクロを用いる最適化</t>
    <rPh sb="4" eb="5">
      <t>モチ</t>
    </rPh>
    <rPh sb="7" eb="10">
      <t>サイテキカ</t>
    </rPh>
    <phoneticPr fontId="1"/>
  </si>
  <si>
    <t>maximize</t>
    <phoneticPr fontId="1"/>
  </si>
  <si>
    <t>ExcelInterface</t>
    <phoneticPr fontId="1"/>
  </si>
  <si>
    <t>自己インダクタンス[H]（3次元解析） / Coil - Coil_InAuto - Coil_OutAuto</t>
    <rPh sb="0" eb="2">
      <t>ジコ</t>
    </rPh>
    <rPh sb="14" eb="16">
      <t>ジゲン</t>
    </rPh>
    <rPh sb="16" eb="18">
      <t>カイセキ</t>
    </rPh>
    <phoneticPr fontId="1"/>
  </si>
  <si>
    <t>sample\surrogate_sample.csv</t>
    <phoneticPr fontId="1"/>
  </si>
  <si>
    <t>TPESampler</t>
    <phoneticPr fontId="1"/>
  </si>
  <si>
    <t>PoFBoTorchSampler</t>
    <phoneticPr fontId="1"/>
  </si>
  <si>
    <t>FemtetMacro.SamplingResult 内の Sheet6.Range("E13").Value = ResultMax で更新</t>
    <rPh sb="27" eb="28">
      <t>ナイ</t>
    </rPh>
    <rPh sb="69" eb="71">
      <t>コウシン</t>
    </rPh>
    <phoneticPr fontId="1"/>
  </si>
  <si>
    <t>sample\macro_sample.csv</t>
    <phoneticPr fontId="1"/>
  </si>
  <si>
    <t>最適化セットアップ3</t>
    <rPh sb="0" eb="3">
      <t>サイテキカ</t>
    </rPh>
    <phoneticPr fontId="1"/>
  </si>
  <si>
    <t>FemtetMacro.InitVariables の coil_radius = Sheet6.Range("E5").Value で読み取り（更新は PyFemtet が行う）</t>
    <rPh sb="68" eb="69">
      <t>ヨ</t>
    </rPh>
    <rPh sb="70" eb="71">
      <t>ト</t>
    </rPh>
    <rPh sb="73" eb="75">
      <t>コウシン</t>
    </rPh>
    <rPh sb="87" eb="88">
      <t>オコナ</t>
    </rPh>
    <phoneticPr fontId="1"/>
  </si>
  <si>
    <t>FemtetMacro.FemtetMain</t>
    <phoneticPr fontId="1"/>
  </si>
  <si>
    <t>マクロ出力</t>
    <rPh sb="3" eb="5">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</si>
</sst>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9"/>
      <color theme="1"/>
      <name val="PlemolJP Text"/>
      <family val="2"/>
      <charset val="128"/>
      <scheme val="minor"/>
    </font>
    <font>
      <sz val="6"/>
      <name val="PlemolJP Text"/>
      <family val="2"/>
      <charset val="128"/>
      <scheme val="minor"/>
    </font>
    <font>
      <b/>
      <sz val="15"/>
      <color theme="3"/>
      <name val="PlemolJP Text"/>
      <family val="2"/>
      <charset val="128"/>
      <scheme val="minor"/>
    </font>
    <font>
      <b/>
      <sz val="11"/>
      <color theme="3"/>
      <name val="PlemolJP Text"/>
      <family val="2"/>
      <charset val="128"/>
      <scheme val="minor"/>
    </font>
    <font>
      <sz val="9"/>
      <color rgb="FF000000"/>
      <name val="ＭＳ ゴシック"/>
      <family val="3"/>
      <charset val="128"/>
    </font>
    <font>
      <sz val="18"/>
      <color rgb="FF000000"/>
      <name val="Arial Black"/>
      <family val="2"/>
    </font>
    <font>
      <sz val="18"/>
      <color rgb="FF000000"/>
      <name val="PlemolJP Text"/>
      <family val="3"/>
      <charset val="128"/>
    </font>
    <font>
      <sz val="9"/>
      <color theme="0"/>
      <name val="PlemolJP Text"/>
      <family val="3"/>
      <charset val="128"/>
      <scheme val="minor"/>
    </font>
    <font>
      <sz val="9"/>
      <color theme="0"/>
      <name val="PlemolJP Text"/>
      <family val="2"/>
      <charset val="128"/>
      <scheme val="minor"/>
    </font>
    <font>
      <sz val="11"/>
      <color rgb="FF9C5700"/>
      <name val="PlemolJP Text"/>
      <family val="2"/>
      <charset val="128"/>
      <scheme val="minor"/>
    </font>
  </fonts>
  <fills count="6">
    <fill>
      <patternFill patternType="none"/>
    </fill>
    <fill>
      <patternFill patternType="gray125"/>
    </fill>
    <fill>
      <patternFill patternType="solid">
        <fgColor theme="2" tint="-0.749992370372631"/>
        <bgColor indexed="64"/>
      </patternFill>
    </fill>
    <fill>
      <patternFill patternType="solid">
        <fgColor theme="1" tint="0.14999847407452621"/>
        <bgColor indexed="64"/>
      </patternFill>
    </fill>
    <fill>
      <patternFill patternType="solid">
        <fgColor theme="1"/>
        <bgColor indexed="64"/>
      </patternFill>
    </fill>
    <fill>
      <patternFill patternType="solid">
        <fgColor rgb="FFFFEB9C"/>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s>
  <cellStyleXfs count="4">
    <xf numFmtId="0" fontId="0" fillId="0" borderId="0">
      <alignment vertical="center"/>
    </xf>
    <xf numFmtId="0" fontId="2" fillId="0" borderId="2" applyNumberFormat="0" applyFill="0" applyAlignment="0" applyProtection="0">
      <alignment vertical="center"/>
    </xf>
    <xf numFmtId="0" fontId="3" fillId="0" borderId="3" applyNumberFormat="0" applyFill="0" applyAlignment="0" applyProtection="0">
      <alignment vertical="center"/>
    </xf>
    <xf numFmtId="0" fontId="9" fillId="5" borderId="0" applyNumberFormat="0" applyBorder="0" applyAlignment="0" applyProtection="0">
      <alignment vertical="center"/>
    </xf>
  </cellStyleXfs>
  <cellXfs count="16">
    <xf numFmtId="0" fontId="0" fillId="0" borderId="0" xfId="0">
      <alignment vertical="center"/>
    </xf>
    <xf numFmtId="0" fontId="2" fillId="0" borderId="2" xfId="1">
      <alignment vertical="center"/>
    </xf>
    <xf numFmtId="0" fontId="3" fillId="0" borderId="3" xfId="2">
      <alignment vertical="center"/>
    </xf>
    <xf numFmtId="0" fontId="0" fillId="0" borderId="0" xfId="0" applyAlignment="1">
      <alignment vertical="center"/>
    </xf>
    <xf numFmtId="0" fontId="0" fillId="0" borderId="1" xfId="0" applyBorder="1">
      <alignment vertical="center"/>
    </xf>
    <xf numFmtId="0" fontId="8" fillId="2" borderId="0" xfId="0" applyFont="1" applyFill="1" applyBorder="1" applyAlignment="1">
      <alignment horizontal="left" vertical="center"/>
    </xf>
    <xf numFmtId="0" fontId="8" fillId="3" borderId="0" xfId="0" applyFont="1" applyFill="1" applyBorder="1" applyAlignment="1">
      <alignment horizontal="left" vertical="center"/>
    </xf>
    <xf numFmtId="0" fontId="8" fillId="4" borderId="0" xfId="0" applyFont="1" applyFill="1" applyBorder="1" applyAlignment="1">
      <alignment horizontal="left" vertical="center"/>
    </xf>
    <xf numFmtId="0" fontId="7" fillId="3" borderId="0" xfId="0" quotePrefix="1" applyFont="1" applyFill="1"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wrapText="1"/>
    </xf>
    <xf numFmtId="0" fontId="9" fillId="5" borderId="1" xfId="3" applyBorder="1" applyAlignment="1">
      <alignment horizontal="center" vertical="center"/>
    </xf>
    <xf numFmtId="0" fontId="9" fillId="5" borderId="1" xfId="3" applyBorder="1">
      <alignment vertical="center"/>
    </xf>
    <xf numFmtId="0" fontId="0" fillId="0" borderId="0" xfId="0" applyBorder="1" applyAlignment="1">
      <alignment horizontal="center" vertical="center"/>
    </xf>
    <xf numFmtId="0" fontId="0" fillId="0" borderId="0" xfId="0" applyBorder="1">
      <alignment vertical="center"/>
    </xf>
  </cellXfs>
  <cellStyles count="4">
    <cellStyle name="どちらでもない" xfId="3" builtinId="28"/>
    <cellStyle name="見出し 1" xfId="1" builtinId="16"/>
    <cellStyle name="見出し 3" xfId="2" builtinId="18"/>
    <cellStyle name="標準"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317500</xdr:colOff>
          <xdr:row>2</xdr:row>
          <xdr:rowOff>139700</xdr:rowOff>
        </xdr:from>
        <xdr:to>
          <xdr:col>9</xdr:col>
          <xdr:colOff>304800</xdr:colOff>
          <xdr:row>11</xdr:row>
          <xdr:rowOff>127000</xdr:rowOff>
        </xdr:to>
        <xdr:sp macro="" textlink="">
          <xdr:nvSpPr>
            <xdr:cNvPr id="7169" name="pipインストール"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ja-JP" altLang="en-US" sz="1800" b="0" i="0" u="none" strike="noStrike" baseline="0">
                  <a:solidFill>
                    <a:srgbClr val="000000"/>
                  </a:solidFill>
                  <a:latin typeface="PlemolJP Text"/>
                  <a:ea typeface="PlemolJP Text"/>
                  <a:cs typeface="PlemolJP Text"/>
                </a:rPr>
                <a:t>付属</a:t>
              </a:r>
              <a:r>
                <a:rPr lang="ja-JP" altLang="en-US" sz="1800" b="0" i="0" u="none" strike="noStrike" baseline="0">
                  <a:solidFill>
                    <a:srgbClr val="000000"/>
                  </a:solidFill>
                  <a:latin typeface="Arial Black"/>
                  <a:ea typeface="PlemolJP Text"/>
                  <a:cs typeface="PlemolJP Text"/>
                </a:rPr>
                <a:t> Python </a:t>
              </a:r>
              <a:r>
                <a:rPr lang="ja-JP" altLang="en-US" sz="1800" b="0" i="0" u="none" strike="noStrike" baseline="0">
                  <a:solidFill>
                    <a:srgbClr val="000000"/>
                  </a:solidFill>
                  <a:latin typeface="PlemolJP Text"/>
                  <a:ea typeface="PlemolJP Text"/>
                  <a:cs typeface="PlemolJP Text"/>
                </a:rPr>
                <a:t>環境に</a:t>
              </a:r>
              <a:endParaRPr lang="ja-JP" altLang="en-US" sz="1800" b="0" i="0" u="none" strike="noStrike" baseline="0">
                <a:solidFill>
                  <a:srgbClr val="000000"/>
                </a:solidFill>
                <a:latin typeface="Arial Black"/>
                <a:ea typeface="PlemolJP Text"/>
                <a:cs typeface="PlemolJP Text"/>
              </a:endParaRPr>
            </a:p>
            <a:p>
              <a:pPr algn="ctr" rtl="0">
                <a:defRPr sz="1000"/>
              </a:pPr>
              <a:r>
                <a:rPr lang="ja-JP" altLang="en-US" sz="1800" b="0" i="0" u="none" strike="noStrike" baseline="0">
                  <a:solidFill>
                    <a:srgbClr val="000000"/>
                  </a:solidFill>
                  <a:latin typeface="Arial Black"/>
                </a:rPr>
                <a:t>PyFemtet </a:t>
              </a:r>
              <a:r>
                <a:rPr lang="ja-JP" altLang="en-US" sz="1800" b="0" i="0" u="none" strike="noStrike" baseline="0">
                  <a:solidFill>
                    <a:srgbClr val="000000"/>
                  </a:solidFill>
                  <a:latin typeface="PlemolJP Text"/>
                  <a:ea typeface="PlemolJP Text"/>
                  <a:cs typeface="PlemolJP Text"/>
                </a:rPr>
                <a:t>をインストール</a:t>
              </a:r>
            </a:p>
          </xdr:txBody>
        </xdr:sp>
        <xdr:clientData fPrintsWithSheet="0"/>
      </xdr:twoCellAnchor>
    </mc:Choice>
    <mc:Fallback/>
  </mc:AlternateContent>
  <xdr:oneCellAnchor>
    <xdr:from>
      <xdr:col>1</xdr:col>
      <xdr:colOff>381000</xdr:colOff>
      <xdr:row>14</xdr:row>
      <xdr:rowOff>22860</xdr:rowOff>
    </xdr:from>
    <xdr:ext cx="7731604" cy="1376018"/>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929640" y="1943100"/>
          <a:ext cx="7731604" cy="137601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「実行設定」シートの「</a:t>
          </a:r>
          <a:r>
            <a:rPr kumimoji="1" lang="en-US" altLang="ja-JP" sz="1100">
              <a:solidFill>
                <a:schemeClr val="dk1"/>
              </a:solidFill>
              <a:effectLst/>
              <a:latin typeface="+mn-lt"/>
              <a:ea typeface="+mn-ea"/>
              <a:cs typeface="+mn-cs"/>
            </a:rPr>
            <a:t>Python </a:t>
          </a:r>
          <a:r>
            <a:rPr kumimoji="1" lang="ja-JP" altLang="ja-JP" sz="1100">
              <a:solidFill>
                <a:schemeClr val="dk1"/>
              </a:solidFill>
              <a:effectLst/>
              <a:latin typeface="+mn-lt"/>
              <a:ea typeface="+mn-ea"/>
              <a:cs typeface="+mn-cs"/>
            </a:rPr>
            <a:t>実行環境 </a:t>
          </a: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実行パス」が空欄の時に</a:t>
          </a:r>
          <a:r>
            <a:rPr kumimoji="1" lang="ja-JP" altLang="en-US" sz="1100">
              <a:solidFill>
                <a:schemeClr val="dk1"/>
              </a:solidFill>
              <a:effectLst/>
              <a:latin typeface="+mn-lt"/>
              <a:ea typeface="+mn-ea"/>
              <a:cs typeface="+mn-cs"/>
            </a:rPr>
            <a:t>使われる </a:t>
          </a:r>
          <a:r>
            <a:rPr kumimoji="1" lang="en-US" altLang="ja-JP" sz="1100">
              <a:solidFill>
                <a:schemeClr val="dk1"/>
              </a:solidFill>
              <a:effectLst/>
              <a:latin typeface="+mn-lt"/>
              <a:ea typeface="+mn-ea"/>
              <a:cs typeface="+mn-cs"/>
            </a:rPr>
            <a:t>Python </a:t>
          </a:r>
          <a:r>
            <a:rPr kumimoji="1" lang="ja-JP" altLang="en-US" sz="1100">
              <a:solidFill>
                <a:schemeClr val="dk1"/>
              </a:solidFill>
              <a:effectLst/>
              <a:latin typeface="+mn-lt"/>
              <a:ea typeface="+mn-ea"/>
              <a:cs typeface="+mn-cs"/>
            </a:rPr>
            <a:t>環境をインストールします。</a:t>
          </a:r>
          <a:endParaRPr lang="ja-JP" altLang="ja-JP">
            <a:effectLst/>
          </a:endParaRPr>
        </a:p>
        <a:p>
          <a:r>
            <a:rPr kumimoji="1" lang="en-US" altLang="ja-JP" sz="1100"/>
            <a:t>※ </a:t>
          </a:r>
          <a:r>
            <a:rPr kumimoji="1" lang="ja-JP" altLang="en-US" sz="1100"/>
            <a:t>実行すると、「</a:t>
          </a:r>
          <a:r>
            <a:rPr kumimoji="1" lang="en-US" altLang="ja-JP" sz="1100"/>
            <a:t>Python</a:t>
          </a:r>
          <a:r>
            <a:rPr kumimoji="1" lang="ja-JP" altLang="en-US" sz="1100"/>
            <a:t>」フォルダに約 </a:t>
          </a:r>
          <a:r>
            <a:rPr kumimoji="1" lang="en-US" altLang="ja-JP" sz="1100"/>
            <a:t>2~3 GB </a:t>
          </a:r>
          <a:r>
            <a:rPr kumimoji="1" lang="ja-JP" altLang="en-US" sz="1100"/>
            <a:t>のデータがダウンロードされます。</a:t>
          </a:r>
          <a:endParaRPr kumimoji="1" lang="en-US" altLang="ja-JP" sz="1100"/>
        </a:p>
        <a:p>
          <a:r>
            <a:rPr kumimoji="1" lang="en-US" altLang="ja-JP" sz="1100"/>
            <a:t>※ </a:t>
          </a:r>
          <a:r>
            <a:rPr kumimoji="1" lang="ja-JP" altLang="en-US" sz="1100"/>
            <a:t>環境により、開始から終了まで </a:t>
          </a:r>
          <a:r>
            <a:rPr kumimoji="1" lang="en-US" altLang="ja-JP" sz="1100"/>
            <a:t>10 ~ 30 </a:t>
          </a:r>
          <a:r>
            <a:rPr kumimoji="1" lang="ja-JP" altLang="en-US" sz="1100"/>
            <a:t>分程度かかります。</a:t>
          </a:r>
          <a:endParaRPr kumimoji="1" lang="en-US" altLang="ja-JP" sz="1100"/>
        </a:p>
        <a:p>
          <a:r>
            <a:rPr kumimoji="1" lang="ja-JP" altLang="en-US" sz="1100"/>
            <a:t>　 </a:t>
          </a:r>
          <a:r>
            <a:rPr kumimoji="1" lang="ja-JP" altLang="en-US" sz="1100">
              <a:solidFill>
                <a:srgbClr val="FF0000"/>
              </a:solidFill>
            </a:rPr>
            <a:t>その間、</a:t>
          </a:r>
          <a:r>
            <a:rPr kumimoji="1" lang="en-US" altLang="ja-JP" sz="1100">
              <a:solidFill>
                <a:srgbClr val="FF0000"/>
              </a:solidFill>
            </a:rPr>
            <a:t>Excel </a:t>
          </a:r>
          <a:r>
            <a:rPr kumimoji="1" lang="ja-JP" altLang="en-US" sz="1100">
              <a:solidFill>
                <a:srgbClr val="FF0000"/>
              </a:solidFill>
            </a:rPr>
            <a:t>が使えません。</a:t>
          </a:r>
          <a:endParaRPr kumimoji="1" lang="en-US" altLang="ja-JP" sz="1100">
            <a:solidFill>
              <a:srgbClr val="FF0000"/>
            </a:solidFill>
          </a:endParaRPr>
        </a:p>
        <a:p>
          <a:r>
            <a:rPr kumimoji="1" lang="ja-JP" altLang="en-US" sz="1100"/>
            <a:t>　 インストール中、コマンドプロンプト画面を閉じないでください。</a:t>
          </a:r>
          <a:endParaRPr kumimoji="1" lang="en-US" altLang="ja-JP" sz="1100"/>
        </a:p>
        <a:p>
          <a:r>
            <a:rPr kumimoji="1" lang="ja-JP" altLang="en-US" sz="1100"/>
            <a:t>　 インストールが終了すると、コマンドプロンプト画面が自動で閉じます。</a:t>
          </a:r>
          <a:endParaRPr kumimoji="1" lang="en-US" altLang="ja-JP" sz="1100"/>
        </a:p>
        <a:p>
          <a:r>
            <a:rPr kumimoji="1" lang="en-US" altLang="ja-JP" sz="1100"/>
            <a:t>※ PyFemtet </a:t>
          </a:r>
          <a:r>
            <a:rPr kumimoji="1" lang="ja-JP" altLang="en-US" sz="1100"/>
            <a:t>のアップデート時も上記ボタンを押してください。</a:t>
          </a:r>
          <a:endParaRPr kumimoji="1" lang="en-US" altLang="ja-JP" sz="1100"/>
        </a:p>
      </xdr:txBody>
    </xdr:sp>
    <xdr:clientData/>
  </xdr:oneCellAnchor>
  <mc:AlternateContent xmlns:mc="http://schemas.openxmlformats.org/markup-compatibility/2006">
    <mc:Choice xmlns:a14="http://schemas.microsoft.com/office/drawing/2010/main" Requires="a14">
      <xdr:twoCellAnchor>
        <xdr:from>
          <xdr:col>3</xdr:col>
          <xdr:colOff>25400</xdr:colOff>
          <xdr:row>29</xdr:row>
          <xdr:rowOff>31750</xdr:rowOff>
        </xdr:from>
        <xdr:to>
          <xdr:col>8</xdr:col>
          <xdr:colOff>444500</xdr:colOff>
          <xdr:row>36</xdr:row>
          <xdr:rowOff>31750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ゴシック"/>
                  <a:ea typeface="ＭＳ ゴシック"/>
                </a:rPr>
                <a:t>「実行設定」に設定された</a:t>
              </a:r>
            </a:p>
            <a:p>
              <a:pPr algn="ctr" rtl="0">
                <a:defRPr sz="1000"/>
              </a:pPr>
              <a:r>
                <a:rPr lang="ja-JP" altLang="en-US" sz="900" b="0" i="0" u="none" strike="noStrike" baseline="0">
                  <a:solidFill>
                    <a:srgbClr val="000000"/>
                  </a:solidFill>
                  <a:latin typeface="ＭＳ ゴシック"/>
                  <a:ea typeface="ＭＳ ゴシック"/>
                </a:rPr>
                <a:t>Python 環境での PyFemtet バージョン確認</a:t>
              </a:r>
            </a:p>
          </xdr:txBody>
        </xdr:sp>
        <xdr:clientData fPrintsWithSheet="0"/>
      </xdr:twoCellAnchor>
    </mc:Choice>
    <mc:Fallback/>
  </mc:AlternateContent>
  <xdr:twoCellAnchor editAs="oneCell">
    <xdr:from>
      <xdr:col>10</xdr:col>
      <xdr:colOff>1</xdr:colOff>
      <xdr:row>30</xdr:row>
      <xdr:rowOff>0</xdr:rowOff>
    </xdr:from>
    <xdr:to>
      <xdr:col>16</xdr:col>
      <xdr:colOff>297181</xdr:colOff>
      <xdr:row>35</xdr:row>
      <xdr:rowOff>26655</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5486401" y="4343400"/>
          <a:ext cx="3589020" cy="7505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24</xdr:row>
          <xdr:rowOff>0</xdr:rowOff>
        </xdr:to>
        <xdr:sp macro="" textlink="">
          <xdr:nvSpPr>
            <xdr:cNvPr id="3075" name="訓練データ作成"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oneCellAnchor>
    <xdr:from>
      <xdr:col>5</xdr:col>
      <xdr:colOff>0</xdr:colOff>
      <xdr:row>9</xdr:row>
      <xdr:rowOff>91440</xdr:rowOff>
    </xdr:from>
    <xdr:ext cx="8648521" cy="1192634"/>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631680" y="2895600"/>
          <a:ext cx="8648521" cy="1192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xdr:twoCellAnchor>
    <xdr:from>
      <xdr:col>4</xdr:col>
      <xdr:colOff>0</xdr:colOff>
      <xdr:row>17</xdr:row>
      <xdr:rowOff>1957</xdr:rowOff>
    </xdr:from>
    <xdr:to>
      <xdr:col>5</xdr:col>
      <xdr:colOff>0</xdr:colOff>
      <xdr:row>20</xdr:row>
      <xdr:rowOff>205740</xdr:rowOff>
    </xdr:to>
    <xdr:cxnSp macro="">
      <xdr:nvCxnSpPr>
        <xdr:cNvPr id="4" name="直線矢印コネクタ 3">
          <a:extLst>
            <a:ext uri="{FF2B5EF4-FFF2-40B4-BE49-F238E27FC236}">
              <a16:creationId xmlns:a16="http://schemas.microsoft.com/office/drawing/2014/main" id="{00000000-0008-0000-0400-000004000000}"/>
            </a:ext>
          </a:extLst>
        </xdr:cNvPr>
        <xdr:cNvCxnSpPr>
          <a:stCxn id="2" idx="1"/>
        </xdr:cNvCxnSpPr>
      </xdr:nvCxnSpPr>
      <xdr:spPr>
        <a:xfrm flipH="1">
          <a:off x="9090660" y="3491917"/>
          <a:ext cx="541020" cy="4781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0</xdr:colOff>
      <xdr:row>9</xdr:row>
      <xdr:rowOff>58782</xdr:rowOff>
    </xdr:from>
    <xdr:ext cx="9123460" cy="1385379"/>
    <xdr:sp macro="" textlink="">
      <xdr:nvSpPr>
        <xdr:cNvPr id="6" name="テキスト ボックス 5">
          <a:extLst>
            <a:ext uri="{FF2B5EF4-FFF2-40B4-BE49-F238E27FC236}">
              <a16:creationId xmlns:a16="http://schemas.microsoft.com/office/drawing/2014/main" id="{00000000-0008-0000-0400-000006000000}"/>
            </a:ext>
          </a:extLst>
        </xdr:cNvPr>
        <xdr:cNvSpPr txBox="1"/>
      </xdr:nvSpPr>
      <xdr:spPr>
        <a:xfrm>
          <a:off x="9927771" y="1833153"/>
          <a:ext cx="9123460" cy="138537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xdr:col>
          <xdr:colOff>0</xdr:colOff>
          <xdr:row>68</xdr:row>
          <xdr:rowOff>0</xdr:rowOff>
        </xdr:from>
        <xdr:to>
          <xdr:col>2</xdr:col>
          <xdr:colOff>0</xdr:colOff>
          <xdr:row>70</xdr:row>
          <xdr:rowOff>0</xdr:rowOff>
        </xdr:to>
        <xdr:sp macro="" textlink="">
          <xdr:nvSpPr>
            <xdr:cNvPr id="3081" name="訓練データ作成"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46</xdr:row>
          <xdr:rowOff>0</xdr:rowOff>
        </xdr:to>
        <xdr:sp macro="" textlink="">
          <xdr:nvSpPr>
            <xdr:cNvPr id="3082" name="訓練データ作成"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lemolJP">
      <a:majorFont>
        <a:latin typeface="PlemolJP Text"/>
        <a:ea typeface="PlemolJP Text"/>
        <a:cs typeface=""/>
      </a:majorFont>
      <a:minorFont>
        <a:latin typeface="PlemolJP Text"/>
        <a:ea typeface="PlemolJP Text"/>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D7F23-F6DB-4131-8CBE-112D9C17B398}">
  <sheetPr codeName="Sheet3"/>
  <dimension ref="G5:K30"/>
  <sheetViews>
    <sheetView workbookViewId="0">
      <selection activeCell="J28" sqref="J28"/>
    </sheetView>
  </sheetViews>
  <sheetFormatPr defaultRowHeight="11.5" x14ac:dyDescent="0.25"/>
  <sheetData>
    <row r="5" spans="11:11" x14ac:dyDescent="0.25">
      <c r="K5" t="s">
        <v>115</v>
      </c>
    </row>
    <row r="6" spans="11:11" x14ac:dyDescent="0.25">
      <c r="K6" t="s">
        <v>116</v>
      </c>
    </row>
    <row r="7" spans="11:11" x14ac:dyDescent="0.25">
      <c r="K7" t="s">
        <v>117</v>
      </c>
    </row>
    <row r="25" spans="7:11" x14ac:dyDescent="0.25">
      <c r="G25" s="3"/>
      <c r="H25" s="3"/>
      <c r="I25" s="3"/>
      <c r="J25" s="3"/>
    </row>
    <row r="26" spans="7:11" x14ac:dyDescent="0.25">
      <c r="G26" s="3"/>
      <c r="H26" s="3"/>
      <c r="I26" s="3"/>
      <c r="J26" s="3"/>
    </row>
    <row r="27" spans="7:11" x14ac:dyDescent="0.25">
      <c r="G27" s="3"/>
      <c r="H27" s="3"/>
      <c r="I27" s="3"/>
      <c r="J27" s="3"/>
    </row>
    <row r="30" spans="7:11" x14ac:dyDescent="0.25">
      <c r="K30" t="s">
        <v>114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pipインストール">
              <controlPr defaultSize="0" print="0" autoFill="0" autoPict="0" macro="[0]!pipインストール_Click">
                <anchor moveWithCells="1" sizeWithCells="1">
                  <from>
                    <xdr:col>2</xdr:col>
                    <xdr:colOff>317500</xdr:colOff>
                    <xdr:row>2</xdr:row>
                    <xdr:rowOff>139700</xdr:rowOff>
                  </from>
                  <to>
                    <xdr:col>9</xdr:col>
                    <xdr:colOff>304800</xdr:colOff>
                    <xdr:row>11</xdr:row>
                    <xdr:rowOff>127000</xdr:rowOff>
                  </to>
                </anchor>
              </controlPr>
            </control>
          </mc:Choice>
        </mc:AlternateContent>
        <mc:AlternateContent xmlns:mc="http://schemas.openxmlformats.org/markup-compatibility/2006">
          <mc:Choice Requires="x14">
            <control shapeId="7170" r:id="rId5" name="Button 2">
              <controlPr defaultSize="0" print="0" autoFill="0" autoPict="0" macro="[0]!インストールチェック_Click">
                <anchor moveWithCells="1" sizeWithCells="1">
                  <from>
                    <xdr:col>3</xdr:col>
                    <xdr:colOff>25400</xdr:colOff>
                    <xdr:row>29</xdr:row>
                    <xdr:rowOff>31750</xdr:rowOff>
                  </from>
                  <to>
                    <xdr:col>8</xdr:col>
                    <xdr:colOff>444500</xdr:colOff>
                    <xdr:row>36</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FF5FB-63D8-4A40-A045-FB58C7C6E030}">
  <sheetPr codeName="Sheet4"/>
  <dimension ref="B2:I27"/>
  <sheetViews>
    <sheetView workbookViewId="0">
      <selection activeCell="C13" sqref="C13"/>
    </sheetView>
  </sheetViews>
  <sheetFormatPr defaultRowHeight="11.5" x14ac:dyDescent="0.25"/>
  <cols>
    <col min="3" max="3" width="27.8984375" customWidth="1"/>
    <col min="6" max="6" width="11.59765625" bestFit="1" customWidth="1"/>
  </cols>
  <sheetData>
    <row r="2" spans="2:9" s="2" customFormat="1" ht="14.5" thickBot="1" x14ac:dyDescent="0.3">
      <c r="B2" s="2" t="s">
        <v>2</v>
      </c>
    </row>
    <row r="4" spans="2:9" x14ac:dyDescent="0.25">
      <c r="C4" s="4" t="s">
        <v>8</v>
      </c>
      <c r="D4" s="4" t="s">
        <v>125</v>
      </c>
      <c r="E4" s="4" t="s">
        <v>0</v>
      </c>
      <c r="F4" s="4" t="s">
        <v>9</v>
      </c>
      <c r="G4" s="4" t="s">
        <v>10</v>
      </c>
      <c r="H4" s="4" t="s">
        <v>11</v>
      </c>
      <c r="I4" s="4" t="s">
        <v>3</v>
      </c>
    </row>
    <row r="5" spans="2:9" x14ac:dyDescent="0.25">
      <c r="C5" s="4" t="s">
        <v>176</v>
      </c>
      <c r="D5" s="4" t="b">
        <v>1</v>
      </c>
      <c r="E5" s="4">
        <v>10</v>
      </c>
      <c r="F5" s="4">
        <v>10</v>
      </c>
      <c r="G5" s="4">
        <v>15</v>
      </c>
      <c r="H5" s="4"/>
      <c r="I5" s="4"/>
    </row>
    <row r="6" spans="2:9" x14ac:dyDescent="0.25">
      <c r="C6" s="4" t="s">
        <v>177</v>
      </c>
      <c r="D6" s="4" t="b">
        <v>1</v>
      </c>
      <c r="E6" s="4">
        <v>5</v>
      </c>
      <c r="F6" s="4">
        <v>4</v>
      </c>
      <c r="G6" s="4">
        <v>6</v>
      </c>
      <c r="H6" s="4">
        <v>1</v>
      </c>
      <c r="I6" s="4"/>
    </row>
    <row r="10" spans="2:9" s="2" customFormat="1" ht="14.5" thickBot="1" x14ac:dyDescent="0.3">
      <c r="B10" s="2" t="s">
        <v>127</v>
      </c>
    </row>
    <row r="12" spans="2:9" x14ac:dyDescent="0.25">
      <c r="C12" s="4" t="s">
        <v>123</v>
      </c>
      <c r="D12" s="4" t="s">
        <v>125</v>
      </c>
      <c r="E12" s="4" t="s">
        <v>0</v>
      </c>
      <c r="F12" s="4" t="s">
        <v>124</v>
      </c>
      <c r="G12" s="4" t="s">
        <v>3</v>
      </c>
    </row>
    <row r="13" spans="2:9" x14ac:dyDescent="0.25">
      <c r="C13" s="4" t="s">
        <v>131</v>
      </c>
      <c r="D13" s="4" t="b">
        <v>1</v>
      </c>
      <c r="E13" s="4"/>
      <c r="F13" s="4" t="s">
        <v>182</v>
      </c>
      <c r="G13" s="4"/>
    </row>
    <row r="16" spans="2:9" s="2" customFormat="1" ht="14.5" thickBot="1" x14ac:dyDescent="0.3">
      <c r="B16" s="2" t="s">
        <v>128</v>
      </c>
    </row>
    <row r="18" spans="2:9" x14ac:dyDescent="0.25">
      <c r="C18" s="4" t="s">
        <v>129</v>
      </c>
      <c r="D18" s="4" t="s">
        <v>125</v>
      </c>
      <c r="E18" s="4" t="s">
        <v>0</v>
      </c>
      <c r="F18" s="4" t="s">
        <v>9</v>
      </c>
      <c r="G18" s="4" t="s">
        <v>10</v>
      </c>
      <c r="H18" s="4" t="s">
        <v>130</v>
      </c>
      <c r="I18" s="4" t="s">
        <v>3</v>
      </c>
    </row>
    <row r="19" spans="2:9" x14ac:dyDescent="0.25">
      <c r="C19" s="4" t="s">
        <v>132</v>
      </c>
      <c r="D19" s="4" t="b">
        <v>1</v>
      </c>
      <c r="E19" s="4">
        <f>E5+E6</f>
        <v>15</v>
      </c>
      <c r="F19" s="4"/>
      <c r="G19" s="4">
        <v>15</v>
      </c>
      <c r="H19" s="4"/>
      <c r="I19" s="4"/>
    </row>
    <row r="20" spans="2:9" x14ac:dyDescent="0.25">
      <c r="C20" s="4" t="s">
        <v>133</v>
      </c>
      <c r="D20" s="4" t="b">
        <v>1</v>
      </c>
      <c r="E20" s="4">
        <f>E6</f>
        <v>5</v>
      </c>
      <c r="F20" s="4"/>
      <c r="G20" s="4">
        <v>4</v>
      </c>
      <c r="H20" s="4" t="b">
        <v>0</v>
      </c>
      <c r="I20" s="4"/>
    </row>
    <row r="26" spans="2:9" x14ac:dyDescent="0.25">
      <c r="B26" t="s">
        <v>151</v>
      </c>
    </row>
    <row r="27" spans="2:9" x14ac:dyDescent="0.25">
      <c r="B27" t="s">
        <v>152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26824-E9CA-43C8-9DDF-E28E5BDC08DB}">
  <sheetPr codeName="Sheet5"/>
  <dimension ref="B2:I19"/>
  <sheetViews>
    <sheetView workbookViewId="0">
      <selection activeCell="F24" sqref="F24"/>
    </sheetView>
  </sheetViews>
  <sheetFormatPr defaultRowHeight="11.5" x14ac:dyDescent="0.25"/>
  <cols>
    <col min="3" max="3" width="24.3984375" customWidth="1"/>
    <col min="6" max="6" width="10.5" bestFit="1" customWidth="1"/>
  </cols>
  <sheetData>
    <row r="2" spans="2:9" s="2" customFormat="1" ht="14.5" thickBot="1" x14ac:dyDescent="0.3">
      <c r="B2" s="2" t="s">
        <v>2</v>
      </c>
    </row>
    <row r="4" spans="2:9" x14ac:dyDescent="0.25">
      <c r="C4" s="4" t="s">
        <v>8</v>
      </c>
      <c r="D4" s="4" t="s">
        <v>125</v>
      </c>
      <c r="E4" s="4" t="s">
        <v>0</v>
      </c>
      <c r="F4" s="4" t="s">
        <v>9</v>
      </c>
      <c r="G4" s="4" t="s">
        <v>10</v>
      </c>
      <c r="H4" s="4" t="s">
        <v>11</v>
      </c>
      <c r="I4" s="4" t="s">
        <v>3</v>
      </c>
    </row>
    <row r="5" spans="2:9" x14ac:dyDescent="0.25">
      <c r="C5" s="4" t="s">
        <v>176</v>
      </c>
      <c r="D5" s="4" t="b">
        <v>1</v>
      </c>
      <c r="E5" s="4">
        <v>10</v>
      </c>
      <c r="F5" s="4">
        <v>10</v>
      </c>
      <c r="G5" s="4">
        <v>15</v>
      </c>
      <c r="H5" s="4"/>
      <c r="I5" s="4"/>
    </row>
    <row r="6" spans="2:9" x14ac:dyDescent="0.25">
      <c r="C6" s="4" t="s">
        <v>177</v>
      </c>
      <c r="D6" s="4" t="b">
        <v>1</v>
      </c>
      <c r="E6" s="4">
        <v>5</v>
      </c>
      <c r="F6" s="4">
        <v>4</v>
      </c>
      <c r="G6" s="4">
        <v>6</v>
      </c>
      <c r="H6" s="4">
        <v>1</v>
      </c>
      <c r="I6" s="4"/>
    </row>
    <row r="10" spans="2:9" s="2" customFormat="1" ht="14.5" thickBot="1" x14ac:dyDescent="0.3">
      <c r="B10" s="2" t="s">
        <v>127</v>
      </c>
    </row>
    <row r="12" spans="2:9" x14ac:dyDescent="0.25">
      <c r="C12" s="4" t="s">
        <v>123</v>
      </c>
      <c r="D12" s="4" t="s">
        <v>125</v>
      </c>
      <c r="E12" s="4" t="s">
        <v>0</v>
      </c>
      <c r="F12" s="4" t="s">
        <v>124</v>
      </c>
      <c r="G12" s="4" t="s">
        <v>3</v>
      </c>
    </row>
    <row r="13" spans="2:9" x14ac:dyDescent="0.25">
      <c r="C13" s="4" t="s">
        <v>184</v>
      </c>
      <c r="D13" s="4" t="b">
        <v>1</v>
      </c>
      <c r="E13" s="4"/>
      <c r="F13" s="4">
        <f>500 * 0.000000001</f>
        <v>5.0000000000000008E-7</v>
      </c>
      <c r="G13" s="4"/>
    </row>
    <row r="18" spans="2:2" x14ac:dyDescent="0.25">
      <c r="B18" t="s">
        <v>151</v>
      </c>
    </row>
    <row r="19" spans="2:2" x14ac:dyDescent="0.25">
      <c r="B19" t="s">
        <v>152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2A470-3553-4AB8-9CAD-ABB8678709A7}">
  <sheetPr codeName="Sheet6"/>
  <dimension ref="B2:I19"/>
  <sheetViews>
    <sheetView workbookViewId="0">
      <selection activeCell="F14" sqref="F14"/>
    </sheetView>
  </sheetViews>
  <sheetFormatPr defaultRowHeight="11.5" x14ac:dyDescent="0.25"/>
  <cols>
    <col min="3" max="3" width="24.3984375" customWidth="1"/>
    <col min="6" max="6" width="10.5" bestFit="1" customWidth="1"/>
  </cols>
  <sheetData>
    <row r="2" spans="2:9" s="2" customFormat="1" ht="14.5" thickBot="1" x14ac:dyDescent="0.3">
      <c r="B2" s="2" t="s">
        <v>2</v>
      </c>
    </row>
    <row r="4" spans="2:9" x14ac:dyDescent="0.25">
      <c r="C4" s="4" t="s">
        <v>8</v>
      </c>
      <c r="D4" s="4" t="s">
        <v>125</v>
      </c>
      <c r="E4" s="4" t="s">
        <v>0</v>
      </c>
      <c r="F4" s="4" t="s">
        <v>9</v>
      </c>
      <c r="G4" s="4" t="s">
        <v>10</v>
      </c>
      <c r="H4" s="4" t="s">
        <v>11</v>
      </c>
      <c r="I4" s="4" t="s">
        <v>3</v>
      </c>
    </row>
    <row r="5" spans="2:9" x14ac:dyDescent="0.25">
      <c r="C5" s="4" t="s">
        <v>176</v>
      </c>
      <c r="D5" s="4" t="b">
        <v>1</v>
      </c>
      <c r="E5" s="4">
        <v>10</v>
      </c>
      <c r="F5" s="4">
        <v>10</v>
      </c>
      <c r="G5" s="4">
        <v>15</v>
      </c>
      <c r="H5" s="4"/>
      <c r="I5" s="4" t="s">
        <v>191</v>
      </c>
    </row>
    <row r="6" spans="2:9" x14ac:dyDescent="0.25">
      <c r="C6" s="4" t="s">
        <v>177</v>
      </c>
      <c r="D6" s="4" t="b">
        <v>1</v>
      </c>
      <c r="E6" s="4">
        <v>5</v>
      </c>
      <c r="F6" s="4">
        <v>4</v>
      </c>
      <c r="G6" s="4">
        <v>6</v>
      </c>
      <c r="H6" s="4">
        <v>1</v>
      </c>
      <c r="I6" s="4"/>
    </row>
    <row r="10" spans="2:9" s="2" customFormat="1" ht="14.5" thickBot="1" x14ac:dyDescent="0.3">
      <c r="B10" s="2" t="s">
        <v>127</v>
      </c>
    </row>
    <row r="12" spans="2:9" x14ac:dyDescent="0.25">
      <c r="C12" s="4" t="s">
        <v>123</v>
      </c>
      <c r="D12" s="4" t="s">
        <v>125</v>
      </c>
      <c r="E12" s="4" t="s">
        <v>0</v>
      </c>
      <c r="F12" s="4" t="s">
        <v>124</v>
      </c>
      <c r="G12" s="4" t="s">
        <v>3</v>
      </c>
    </row>
    <row r="13" spans="2:9" x14ac:dyDescent="0.25">
      <c r="C13" s="4" t="s">
        <v>193</v>
      </c>
      <c r="D13" s="4" t="b">
        <v>1</v>
      </c>
      <c r="E13" s="4">
        <v>2.1071481920792115E-4</v>
      </c>
      <c r="F13" s="4" t="s">
        <v>134</v>
      </c>
      <c r="G13" s="4" t="s">
        <v>188</v>
      </c>
    </row>
    <row r="18" spans="2:2" x14ac:dyDescent="0.25">
      <c r="B18" t="s">
        <v>151</v>
      </c>
    </row>
    <row r="19" spans="2:2" x14ac:dyDescent="0.25">
      <c r="B19" t="s">
        <v>152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outlinePr summaryBelow="0" summaryRight="0"/>
  </sheetPr>
  <dimension ref="B3:D77"/>
  <sheetViews>
    <sheetView showGridLines="0" zoomScale="70" zoomScaleNormal="70" workbookViewId="0">
      <selection activeCell="D84" sqref="D84"/>
    </sheetView>
  </sheetViews>
  <sheetFormatPr defaultColWidth="8.8984375" defaultRowHeight="11.5" outlineLevelRow="1" x14ac:dyDescent="0.25"/>
  <cols>
    <col min="2" max="2" width="27.8984375" customWidth="1"/>
    <col min="3" max="3" width="50.09765625" customWidth="1"/>
    <col min="4" max="4" width="66.8984375" customWidth="1"/>
  </cols>
  <sheetData>
    <row r="3" spans="2:4" s="2" customFormat="1" ht="14.5" thickBot="1" x14ac:dyDescent="0.3">
      <c r="B3" s="2" t="s">
        <v>180</v>
      </c>
    </row>
    <row r="4" spans="2:4" outlineLevel="1" x14ac:dyDescent="0.25"/>
    <row r="5" spans="2:4" ht="14" outlineLevel="1" x14ac:dyDescent="0.25">
      <c r="B5" s="12" t="s">
        <v>1</v>
      </c>
      <c r="C5" s="12" t="s">
        <v>0</v>
      </c>
      <c r="D5" s="13" t="s">
        <v>3</v>
      </c>
    </row>
    <row r="6" spans="2:4" outlineLevel="1" x14ac:dyDescent="0.25">
      <c r="B6" s="9" t="s">
        <v>13</v>
      </c>
      <c r="C6" s="9" t="s">
        <v>178</v>
      </c>
      <c r="D6" s="4" t="s">
        <v>112</v>
      </c>
    </row>
    <row r="7" spans="2:4" outlineLevel="1" x14ac:dyDescent="0.25">
      <c r="B7" s="9" t="s">
        <v>14</v>
      </c>
      <c r="C7" s="9"/>
      <c r="D7" s="4" t="s">
        <v>153</v>
      </c>
    </row>
    <row r="8" spans="2:4" outlineLevel="1" x14ac:dyDescent="0.25">
      <c r="B8" s="9" t="s">
        <v>7</v>
      </c>
      <c r="C8" s="9" t="s">
        <v>136</v>
      </c>
      <c r="D8" s="4"/>
    </row>
    <row r="9" spans="2:4" outlineLevel="1" x14ac:dyDescent="0.25">
      <c r="B9" s="9"/>
      <c r="C9" s="9"/>
      <c r="D9" s="4"/>
    </row>
    <row r="10" spans="2:4" outlineLevel="1" x14ac:dyDescent="0.25">
      <c r="B10" s="9" t="s">
        <v>160</v>
      </c>
      <c r="C10" s="9" t="s">
        <v>108</v>
      </c>
      <c r="D10" s="4" t="s">
        <v>161</v>
      </c>
    </row>
    <row r="11" spans="2:4" outlineLevel="1" x14ac:dyDescent="0.25">
      <c r="B11" s="9" t="s">
        <v>104</v>
      </c>
      <c r="C11" s="9">
        <v>10</v>
      </c>
      <c r="D11" s="4" t="s">
        <v>164</v>
      </c>
    </row>
    <row r="12" spans="2:4" outlineLevel="1" x14ac:dyDescent="0.25">
      <c r="B12" s="9" t="s">
        <v>162</v>
      </c>
      <c r="C12" s="9">
        <v>10</v>
      </c>
      <c r="D12" s="4" t="s">
        <v>163</v>
      </c>
    </row>
    <row r="13" spans="2:4" outlineLevel="1" x14ac:dyDescent="0.25">
      <c r="B13" s="9"/>
      <c r="C13" s="9"/>
      <c r="D13" s="4"/>
    </row>
    <row r="14" spans="2:4" ht="34.5" outlineLevel="1" x14ac:dyDescent="0.25">
      <c r="B14" s="9" t="s">
        <v>109</v>
      </c>
      <c r="C14" s="9" t="s">
        <v>179</v>
      </c>
      <c r="D14" s="10" t="s">
        <v>165</v>
      </c>
    </row>
    <row r="15" spans="2:4" outlineLevel="1" x14ac:dyDescent="0.25">
      <c r="B15" s="9"/>
      <c r="C15" s="9"/>
      <c r="D15" s="4"/>
    </row>
    <row r="16" spans="2:4" outlineLevel="1" x14ac:dyDescent="0.25">
      <c r="B16" s="9" t="s">
        <v>12</v>
      </c>
      <c r="C16" s="9">
        <v>20</v>
      </c>
      <c r="D16" s="4"/>
    </row>
    <row r="17" spans="2:4" outlineLevel="1" x14ac:dyDescent="0.25">
      <c r="B17" s="9" t="s">
        <v>4</v>
      </c>
      <c r="C17" s="9"/>
      <c r="D17" s="4"/>
    </row>
    <row r="18" spans="2:4" outlineLevel="1" x14ac:dyDescent="0.25">
      <c r="B18" s="9" t="s">
        <v>5</v>
      </c>
      <c r="C18" s="9"/>
      <c r="D18" s="4"/>
    </row>
    <row r="19" spans="2:4" outlineLevel="1" x14ac:dyDescent="0.25">
      <c r="B19" s="9" t="s">
        <v>6</v>
      </c>
      <c r="C19" s="9">
        <v>1</v>
      </c>
      <c r="D19" s="4"/>
    </row>
    <row r="20" spans="2:4" outlineLevel="1" x14ac:dyDescent="0.25">
      <c r="B20" s="9"/>
      <c r="C20" s="9"/>
      <c r="D20" s="4"/>
    </row>
    <row r="21" spans="2:4" ht="34.5" outlineLevel="1" x14ac:dyDescent="0.25">
      <c r="B21" s="11" t="s">
        <v>121</v>
      </c>
      <c r="C21" s="9"/>
      <c r="D21" s="4" t="s">
        <v>122</v>
      </c>
    </row>
    <row r="22" spans="2:4" outlineLevel="1" x14ac:dyDescent="0.25"/>
    <row r="23" spans="2:4" outlineLevel="1" x14ac:dyDescent="0.25"/>
    <row r="24" spans="2:4" outlineLevel="1" x14ac:dyDescent="0.25"/>
    <row r="27" spans="2:4" s="2" customFormat="1" ht="14.5" thickBot="1" x14ac:dyDescent="0.3">
      <c r="B27" s="2" t="s">
        <v>170</v>
      </c>
    </row>
    <row r="28" spans="2:4" outlineLevel="1" x14ac:dyDescent="0.25"/>
    <row r="29" spans="2:4" ht="14" outlineLevel="1" x14ac:dyDescent="0.25">
      <c r="B29" s="12" t="s">
        <v>1</v>
      </c>
      <c r="C29" s="12" t="s">
        <v>0</v>
      </c>
      <c r="D29" s="13" t="s">
        <v>3</v>
      </c>
    </row>
    <row r="30" spans="2:4" outlineLevel="1" x14ac:dyDescent="0.25">
      <c r="B30" s="9" t="s">
        <v>171</v>
      </c>
      <c r="C30" s="9" t="str">
        <f>history_csv_path</f>
        <v>sample\sample.csv</v>
      </c>
      <c r="D30" s="4" t="s">
        <v>172</v>
      </c>
    </row>
    <row r="31" spans="2:4" outlineLevel="1" x14ac:dyDescent="0.25">
      <c r="B31" s="9"/>
      <c r="C31" s="9"/>
      <c r="D31" s="4"/>
    </row>
    <row r="32" spans="2:4" outlineLevel="1" x14ac:dyDescent="0.25">
      <c r="B32" s="9" t="s">
        <v>7</v>
      </c>
      <c r="C32" s="9" t="s">
        <v>173</v>
      </c>
      <c r="D32" s="4"/>
    </row>
    <row r="33" spans="2:4" outlineLevel="1" x14ac:dyDescent="0.25">
      <c r="B33" s="9"/>
      <c r="C33" s="9"/>
      <c r="D33" s="4"/>
    </row>
    <row r="34" spans="2:4" outlineLevel="1" x14ac:dyDescent="0.25">
      <c r="B34" s="9" t="s">
        <v>160</v>
      </c>
      <c r="C34" s="9" t="s">
        <v>186</v>
      </c>
      <c r="D34" s="4" t="s">
        <v>161</v>
      </c>
    </row>
    <row r="35" spans="2:4" outlineLevel="1" x14ac:dyDescent="0.25">
      <c r="B35" s="9" t="s">
        <v>104</v>
      </c>
      <c r="C35" s="9">
        <v>10</v>
      </c>
      <c r="D35" s="4" t="s">
        <v>164</v>
      </c>
    </row>
    <row r="36" spans="2:4" outlineLevel="1" x14ac:dyDescent="0.25">
      <c r="B36" s="9" t="s">
        <v>162</v>
      </c>
      <c r="C36" s="9">
        <v>10</v>
      </c>
      <c r="D36" s="4" t="s">
        <v>163</v>
      </c>
    </row>
    <row r="37" spans="2:4" outlineLevel="1" x14ac:dyDescent="0.25">
      <c r="B37" s="9"/>
      <c r="C37" s="9"/>
      <c r="D37" s="4"/>
    </row>
    <row r="38" spans="2:4" ht="34.5" outlineLevel="1" x14ac:dyDescent="0.25">
      <c r="B38" s="9" t="s">
        <v>109</v>
      </c>
      <c r="C38" s="9" t="s">
        <v>185</v>
      </c>
      <c r="D38" s="10" t="s">
        <v>165</v>
      </c>
    </row>
    <row r="39" spans="2:4" outlineLevel="1" x14ac:dyDescent="0.25">
      <c r="B39" s="9"/>
      <c r="C39" s="9"/>
      <c r="D39" s="4"/>
    </row>
    <row r="40" spans="2:4" outlineLevel="1" x14ac:dyDescent="0.25">
      <c r="B40" s="9" t="s">
        <v>12</v>
      </c>
      <c r="C40" s="9">
        <v>200</v>
      </c>
      <c r="D40" s="4"/>
    </row>
    <row r="41" spans="2:4" outlineLevel="1" x14ac:dyDescent="0.25">
      <c r="B41" s="9" t="s">
        <v>4</v>
      </c>
      <c r="C41" s="9"/>
      <c r="D41" s="4"/>
    </row>
    <row r="42" spans="2:4" outlineLevel="1" x14ac:dyDescent="0.25">
      <c r="B42" s="9" t="s">
        <v>5</v>
      </c>
      <c r="C42" s="9"/>
      <c r="D42" s="4"/>
    </row>
    <row r="43" spans="2:4" outlineLevel="1" x14ac:dyDescent="0.25">
      <c r="B43" s="9" t="s">
        <v>6</v>
      </c>
      <c r="C43" s="9">
        <v>1</v>
      </c>
      <c r="D43" s="4"/>
    </row>
    <row r="44" spans="2:4" outlineLevel="1" x14ac:dyDescent="0.25">
      <c r="B44" s="14"/>
      <c r="C44" s="14"/>
      <c r="D44" s="15"/>
    </row>
    <row r="45" spans="2:4" outlineLevel="1" x14ac:dyDescent="0.25">
      <c r="B45" s="14"/>
      <c r="C45" s="14"/>
      <c r="D45" s="15"/>
    </row>
    <row r="46" spans="2:4" outlineLevel="1" x14ac:dyDescent="0.25">
      <c r="B46" s="14"/>
      <c r="C46" s="14"/>
      <c r="D46" s="15"/>
    </row>
    <row r="47" spans="2:4" x14ac:dyDescent="0.25">
      <c r="B47" s="14"/>
      <c r="C47" s="14"/>
      <c r="D47" s="15"/>
    </row>
    <row r="48" spans="2:4" x14ac:dyDescent="0.25">
      <c r="B48" s="14"/>
      <c r="C48" s="14"/>
      <c r="D48" s="15"/>
    </row>
    <row r="49" spans="2:4" s="2" customFormat="1" ht="14.5" thickBot="1" x14ac:dyDescent="0.3">
      <c r="B49" s="2" t="s">
        <v>181</v>
      </c>
    </row>
    <row r="50" spans="2:4" outlineLevel="1" x14ac:dyDescent="0.25"/>
    <row r="51" spans="2:4" ht="14" outlineLevel="1" x14ac:dyDescent="0.25">
      <c r="B51" s="12" t="s">
        <v>1</v>
      </c>
      <c r="C51" s="12" t="s">
        <v>0</v>
      </c>
      <c r="D51" s="13" t="s">
        <v>3</v>
      </c>
    </row>
    <row r="52" spans="2:4" outlineLevel="1" x14ac:dyDescent="0.25">
      <c r="B52" s="9" t="s">
        <v>7</v>
      </c>
      <c r="C52" s="9" t="s">
        <v>190</v>
      </c>
      <c r="D52" s="4"/>
    </row>
    <row r="53" spans="2:4" outlineLevel="1" x14ac:dyDescent="0.25">
      <c r="B53" s="9"/>
      <c r="C53" s="9"/>
      <c r="D53" s="4"/>
    </row>
    <row r="54" spans="2:4" outlineLevel="1" x14ac:dyDescent="0.25">
      <c r="B54" s="9" t="s">
        <v>156</v>
      </c>
      <c r="C54" s="9" t="s">
        <v>174</v>
      </c>
      <c r="D54" s="4" t="s">
        <v>157</v>
      </c>
    </row>
    <row r="55" spans="2:4" outlineLevel="1" x14ac:dyDescent="0.25">
      <c r="B55" s="9" t="s">
        <v>154</v>
      </c>
      <c r="C55" s="9" t="s">
        <v>192</v>
      </c>
      <c r="D55" s="4" t="s">
        <v>155</v>
      </c>
    </row>
    <row r="56" spans="2:4" outlineLevel="1" x14ac:dyDescent="0.25">
      <c r="B56" s="9" t="s">
        <v>158</v>
      </c>
      <c r="C56" s="9" t="s">
        <v>175</v>
      </c>
      <c r="D56" s="4" t="s">
        <v>159</v>
      </c>
    </row>
    <row r="57" spans="2:4" outlineLevel="1" x14ac:dyDescent="0.25">
      <c r="B57" s="9"/>
      <c r="C57" s="9"/>
      <c r="D57" s="4"/>
    </row>
    <row r="58" spans="2:4" outlineLevel="1" x14ac:dyDescent="0.25">
      <c r="B58" s="9" t="s">
        <v>160</v>
      </c>
      <c r="C58" s="9" t="s">
        <v>187</v>
      </c>
      <c r="D58" s="4" t="s">
        <v>161</v>
      </c>
    </row>
    <row r="59" spans="2:4" outlineLevel="1" x14ac:dyDescent="0.25">
      <c r="B59" s="9" t="s">
        <v>104</v>
      </c>
      <c r="C59" s="9">
        <v>10</v>
      </c>
      <c r="D59" s="4" t="s">
        <v>164</v>
      </c>
    </row>
    <row r="60" spans="2:4" outlineLevel="1" x14ac:dyDescent="0.25">
      <c r="B60" s="9" t="s">
        <v>162</v>
      </c>
      <c r="C60" s="9">
        <v>10</v>
      </c>
      <c r="D60" s="4" t="s">
        <v>163</v>
      </c>
    </row>
    <row r="61" spans="2:4" outlineLevel="1" x14ac:dyDescent="0.25">
      <c r="B61" s="9"/>
      <c r="C61" s="9"/>
      <c r="D61" s="4"/>
    </row>
    <row r="62" spans="2:4" ht="34.5" outlineLevel="1" x14ac:dyDescent="0.25">
      <c r="B62" s="9" t="s">
        <v>109</v>
      </c>
      <c r="C62" s="9" t="s">
        <v>189</v>
      </c>
      <c r="D62" s="10" t="s">
        <v>165</v>
      </c>
    </row>
    <row r="63" spans="2:4" outlineLevel="1" x14ac:dyDescent="0.25">
      <c r="B63" s="9"/>
      <c r="C63" s="9"/>
      <c r="D63" s="4"/>
    </row>
    <row r="64" spans="2:4" outlineLevel="1" x14ac:dyDescent="0.25">
      <c r="B64" s="9" t="s">
        <v>12</v>
      </c>
      <c r="C64" s="9">
        <v>20</v>
      </c>
      <c r="D64" s="4"/>
    </row>
    <row r="65" spans="2:4" outlineLevel="1" x14ac:dyDescent="0.25">
      <c r="B65" s="9" t="s">
        <v>4</v>
      </c>
      <c r="C65" s="9"/>
      <c r="D65" s="4"/>
    </row>
    <row r="66" spans="2:4" outlineLevel="1" x14ac:dyDescent="0.25">
      <c r="B66" s="9" t="s">
        <v>5</v>
      </c>
      <c r="C66" s="9"/>
      <c r="D66" s="4"/>
    </row>
    <row r="67" spans="2:4" outlineLevel="1" x14ac:dyDescent="0.25">
      <c r="B67" s="9" t="s">
        <v>6</v>
      </c>
      <c r="C67" s="9">
        <v>1</v>
      </c>
      <c r="D67" s="4"/>
    </row>
    <row r="68" spans="2:4" outlineLevel="1" x14ac:dyDescent="0.25"/>
    <row r="69" spans="2:4" outlineLevel="1" x14ac:dyDescent="0.25"/>
    <row r="70" spans="2:4" outlineLevel="1" x14ac:dyDescent="0.25"/>
    <row r="71" spans="2:4" outlineLevel="1" x14ac:dyDescent="0.25"/>
    <row r="74" spans="2:4" s="2" customFormat="1" ht="14.5" thickBot="1" x14ac:dyDescent="0.3">
      <c r="B74" s="2" t="s">
        <v>110</v>
      </c>
    </row>
    <row r="75" spans="2:4" outlineLevel="1" x14ac:dyDescent="0.25"/>
    <row r="76" spans="2:4" ht="14" outlineLevel="1" x14ac:dyDescent="0.25">
      <c r="B76" s="12" t="s">
        <v>1</v>
      </c>
      <c r="C76" s="12" t="s">
        <v>0</v>
      </c>
      <c r="D76" s="13" t="s">
        <v>3</v>
      </c>
    </row>
    <row r="77" spans="2:4" ht="23" outlineLevel="1" x14ac:dyDescent="0.25">
      <c r="B77" s="9" t="s">
        <v>111</v>
      </c>
      <c r="C77" s="9"/>
      <c r="D77" s="10" t="s">
        <v>118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訓練データ作成">
              <controlPr defaultSize="0" print="0" autoFill="0" autoPict="0" macro="[0]!実行_Click">
                <anchor moveWithCells="1" sizeWithCells="1">
                  <from>
                    <xdr:col>1</xdr:col>
                    <xdr:colOff>0</xdr:colOff>
                    <xdr:row>22</xdr:row>
                    <xdr:rowOff>0</xdr:rowOff>
                  </from>
                  <to>
                    <xdr:col>2</xdr:col>
                    <xdr:colOff>0</xdr:colOff>
                    <xdr:row>24</xdr:row>
                    <xdr:rowOff>0</xdr:rowOff>
                  </to>
                </anchor>
              </controlPr>
            </control>
          </mc:Choice>
        </mc:AlternateContent>
        <mc:AlternateContent xmlns:mc="http://schemas.openxmlformats.org/markup-compatibility/2006">
          <mc:Choice Requires="x14">
            <control shapeId="3082" r:id="rId5" name="Button 10">
              <controlPr defaultSize="0" print="0" autoFill="0" autoPict="0" macro="[0]!実行B_click">
                <anchor moveWithCells="1" sizeWithCells="1">
                  <from>
                    <xdr:col>1</xdr:col>
                    <xdr:colOff>0</xdr:colOff>
                    <xdr:row>44</xdr:row>
                    <xdr:rowOff>0</xdr:rowOff>
                  </from>
                  <to>
                    <xdr:col>2</xdr:col>
                    <xdr:colOff>0</xdr:colOff>
                    <xdr:row>46</xdr:row>
                    <xdr:rowOff>0</xdr:rowOff>
                  </to>
                </anchor>
              </controlPr>
            </control>
          </mc:Choice>
        </mc:AlternateContent>
        <mc:AlternateContent xmlns:mc="http://schemas.openxmlformats.org/markup-compatibility/2006">
          <mc:Choice Requires="x14">
            <control shapeId="3081" r:id="rId6" name="Button 9">
              <controlPr defaultSize="0" print="0" autoFill="0" autoPict="0" macro="[0]!実行C_click">
                <anchor moveWithCells="1" sizeWithCells="1">
                  <from>
                    <xdr:col>1</xdr:col>
                    <xdr:colOff>0</xdr:colOff>
                    <xdr:row>68</xdr:row>
                    <xdr:rowOff>0</xdr:rowOff>
                  </from>
                  <to>
                    <xdr:col>2</xdr:col>
                    <xdr:colOff>0</xdr:colOff>
                    <xdr:row>70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29D2-BEDE-46D2-A27A-482D854B1149}">
  <sheetPr codeName="SYS_ShYAML1"/>
  <dimension ref="A1:E34"/>
  <sheetViews>
    <sheetView topLeftCell="A3" zoomScaleNormal="100" workbookViewId="0">
      <selection activeCell="B35" sqref="B35"/>
    </sheetView>
  </sheetViews>
  <sheetFormatPr defaultColWidth="9" defaultRowHeight="11.5" x14ac:dyDescent="0.25"/>
  <cols>
    <col min="1" max="1" width="19.69921875" style="5" customWidth="1"/>
    <col min="2" max="2" width="26.69921875" style="5" customWidth="1"/>
    <col min="3" max="3" width="60.5" style="5" customWidth="1"/>
    <col min="4" max="4" width="20.3984375" style="5" customWidth="1"/>
    <col min="5" max="16384" width="9" style="5"/>
  </cols>
  <sheetData>
    <row r="1" spans="1:4" x14ac:dyDescent="0.25">
      <c r="A1" s="5" t="s">
        <v>77</v>
      </c>
      <c r="B1" s="5" t="s">
        <v>135</v>
      </c>
      <c r="D1" s="5" t="s">
        <v>91</v>
      </c>
    </row>
    <row r="2" spans="1:4" x14ac:dyDescent="0.25">
      <c r="A2" s="5" t="s">
        <v>74</v>
      </c>
    </row>
    <row r="3" spans="1:4" x14ac:dyDescent="0.25">
      <c r="B3" s="6" t="s">
        <v>78</v>
      </c>
      <c r="C3" s="6" t="str">
        <f>femprj_path</f>
        <v>sample\sample.femprj</v>
      </c>
    </row>
    <row r="4" spans="1:4" x14ac:dyDescent="0.25">
      <c r="B4" s="6" t="s">
        <v>88</v>
      </c>
      <c r="C4" s="6" t="str" cm="1">
        <f t="array" ref="C4">NullValidador(model_name)</f>
        <v>null</v>
      </c>
      <c r="D4" s="5" t="s">
        <v>92</v>
      </c>
    </row>
    <row r="5" spans="1:4" x14ac:dyDescent="0.25">
      <c r="B5" s="6" t="s">
        <v>105</v>
      </c>
      <c r="C5" s="6" t="str" cm="1">
        <f t="array" ref="C5">ThisWorkbookFilePath()</f>
        <v>C:\Users\mm11592\Documents\myFiles2\working\pyfemtet\pyfemtet\pyfemtet\opt\meta_script\YAML_Generator.xlsm</v>
      </c>
      <c r="D5" s="5" t="s">
        <v>107</v>
      </c>
    </row>
    <row r="6" spans="1:4" x14ac:dyDescent="0.25">
      <c r="B6" s="6" t="s">
        <v>106</v>
      </c>
      <c r="C6" s="6" t="str">
        <f>input_sheet_name</f>
        <v>最適化セットアップ</v>
      </c>
    </row>
    <row r="7" spans="1:4" x14ac:dyDescent="0.25">
      <c r="B7" s="6" t="s">
        <v>138</v>
      </c>
      <c r="C7" s="6" t="s">
        <v>148</v>
      </c>
    </row>
    <row r="8" spans="1:4" x14ac:dyDescent="0.25">
      <c r="B8" s="6" t="s">
        <v>139</v>
      </c>
      <c r="C8" s="6" t="s">
        <v>148</v>
      </c>
    </row>
    <row r="9" spans="1:4" x14ac:dyDescent="0.25">
      <c r="B9" s="6" t="s">
        <v>149</v>
      </c>
      <c r="C9" s="6" t="s">
        <v>148</v>
      </c>
    </row>
    <row r="10" spans="1:4" x14ac:dyDescent="0.25">
      <c r="B10" s="6" t="s">
        <v>150</v>
      </c>
      <c r="C10" s="6" t="s">
        <v>148</v>
      </c>
    </row>
    <row r="11" spans="1:4" x14ac:dyDescent="0.25">
      <c r="B11" s="6" t="s">
        <v>113</v>
      </c>
      <c r="C11" s="6" t="e" cm="1">
        <f t="array" ref="C11">NullValidador(procedure_name)</f>
        <v>#VALUE!</v>
      </c>
    </row>
    <row r="12" spans="1:4" x14ac:dyDescent="0.25">
      <c r="B12" s="6" t="s">
        <v>140</v>
      </c>
      <c r="C12" s="6" t="s">
        <v>148</v>
      </c>
    </row>
    <row r="13" spans="1:4" x14ac:dyDescent="0.25">
      <c r="B13" s="6" t="s">
        <v>141</v>
      </c>
      <c r="C13" s="6" t="s">
        <v>148</v>
      </c>
    </row>
    <row r="14" spans="1:4" x14ac:dyDescent="0.25">
      <c r="B14" s="6" t="s">
        <v>142</v>
      </c>
      <c r="C14" s="6" t="e" cm="1">
        <f t="array" ref="C14">NullValidador(setup_procedure_name)</f>
        <v>#VALUE!</v>
      </c>
    </row>
    <row r="15" spans="1:4" x14ac:dyDescent="0.25">
      <c r="B15" s="6" t="s">
        <v>143</v>
      </c>
      <c r="C15" s="6" t="s">
        <v>148</v>
      </c>
    </row>
    <row r="16" spans="1:4" x14ac:dyDescent="0.25">
      <c r="B16" s="6" t="s">
        <v>144</v>
      </c>
      <c r="C16" s="6" t="s">
        <v>148</v>
      </c>
    </row>
    <row r="17" spans="1:5" x14ac:dyDescent="0.25">
      <c r="B17" s="6" t="s">
        <v>146</v>
      </c>
      <c r="C17" s="6" t="e" cm="1">
        <f t="array" ref="C17">NullValidador(teardown_procedure_name)</f>
        <v>#VALUE!</v>
      </c>
    </row>
    <row r="18" spans="1:5" x14ac:dyDescent="0.25">
      <c r="B18" s="6" t="s">
        <v>145</v>
      </c>
      <c r="C18" s="6" t="s">
        <v>148</v>
      </c>
    </row>
    <row r="19" spans="1:5" x14ac:dyDescent="0.25">
      <c r="B19" s="6" t="s">
        <v>147</v>
      </c>
      <c r="C19" s="6" t="s">
        <v>148</v>
      </c>
    </row>
    <row r="20" spans="1:5" x14ac:dyDescent="0.25">
      <c r="A20" s="5" t="s">
        <v>79</v>
      </c>
      <c r="B20" s="5" t="s">
        <v>80</v>
      </c>
    </row>
    <row r="21" spans="1:5" x14ac:dyDescent="0.25">
      <c r="A21" s="5" t="s">
        <v>75</v>
      </c>
    </row>
    <row r="22" spans="1:5" x14ac:dyDescent="0.25">
      <c r="B22" s="6" t="s">
        <v>81</v>
      </c>
      <c r="C22" s="6" t="str" cm="1">
        <f t="array" ref="C22">NullValidador(sampler_class)</f>
        <v>RandomSampler</v>
      </c>
    </row>
    <row r="23" spans="1:5" x14ac:dyDescent="0.25">
      <c r="B23" s="6" t="s">
        <v>82</v>
      </c>
      <c r="C23" s="6"/>
    </row>
    <row r="24" spans="1:5" x14ac:dyDescent="0.25">
      <c r="B24" s="6"/>
      <c r="C24" s="7" t="s">
        <v>83</v>
      </c>
      <c r="D24" s="7" t="str" cm="1">
        <f t="array" ref="D24">NullValidador(n_startup_trials)</f>
        <v>10</v>
      </c>
      <c r="E24" s="5" t="s">
        <v>92</v>
      </c>
    </row>
    <row r="25" spans="1:5" x14ac:dyDescent="0.25">
      <c r="B25" s="6"/>
      <c r="C25" s="7" t="s">
        <v>166</v>
      </c>
      <c r="D25" s="7" t="str" cm="1">
        <f t="array" ref="D25">NullValidador(population_size)</f>
        <v>10</v>
      </c>
      <c r="E25" s="5" t="s">
        <v>92</v>
      </c>
    </row>
    <row r="26" spans="1:5" x14ac:dyDescent="0.25">
      <c r="A26" s="5" t="s">
        <v>76</v>
      </c>
    </row>
    <row r="27" spans="1:5" x14ac:dyDescent="0.25">
      <c r="B27" s="6" t="s">
        <v>85</v>
      </c>
      <c r="C27" s="6" t="str" cm="1">
        <f t="array" ref="C27">NullValidador(n_trials)</f>
        <v>20</v>
      </c>
      <c r="D27" s="5" t="s">
        <v>92</v>
      </c>
    </row>
    <row r="28" spans="1:5" x14ac:dyDescent="0.25">
      <c r="B28" s="6" t="s">
        <v>90</v>
      </c>
      <c r="C28" s="6" t="str" cm="1">
        <f t="array" ref="C28">NullValidador(timeout)</f>
        <v>null</v>
      </c>
      <c r="D28" s="5" t="s">
        <v>92</v>
      </c>
    </row>
    <row r="29" spans="1:5" x14ac:dyDescent="0.25">
      <c r="B29" s="6" t="s">
        <v>86</v>
      </c>
      <c r="C29" s="6" t="b">
        <v>0</v>
      </c>
      <c r="D29" s="5" t="s">
        <v>91</v>
      </c>
    </row>
    <row r="30" spans="1:5" x14ac:dyDescent="0.25">
      <c r="B30" s="6" t="s">
        <v>89</v>
      </c>
      <c r="C30" s="6" t="str" cm="1">
        <f t="array" ref="C30">NullValidador(n_parallel)</f>
        <v>1</v>
      </c>
      <c r="D30" s="5" t="s">
        <v>92</v>
      </c>
    </row>
    <row r="31" spans="1:5" x14ac:dyDescent="0.25">
      <c r="B31" s="6" t="s">
        <v>84</v>
      </c>
      <c r="C31" s="6" t="str" cm="1">
        <f t="array" ref="C31">NullValidador(history_csv_path)</f>
        <v>sample\sample.csv</v>
      </c>
      <c r="D31" s="5" t="s">
        <v>92</v>
      </c>
    </row>
    <row r="32" spans="1:5" x14ac:dyDescent="0.25">
      <c r="A32" s="5" t="s">
        <v>87</v>
      </c>
      <c r="B32" s="5" t="str" cm="1">
        <f t="array" ref="B32">NullValidador(seed)</f>
        <v>null</v>
      </c>
    </row>
    <row r="33" spans="1:3" x14ac:dyDescent="0.25">
      <c r="A33" s="5" t="s">
        <v>137</v>
      </c>
    </row>
    <row r="34" spans="1:3" x14ac:dyDescent="0.25">
      <c r="B34" s="8" t="str">
        <f>IF(additional_module_path = "", "", "-")</f>
        <v/>
      </c>
      <c r="C34" s="6" t="str">
        <f>IF(additional_module_path = "", "", additional_module_path)</f>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2B24-07F4-47B0-B3F6-1BA065ABFD75}">
  <sheetPr codeName="SYS_ShYAML2"/>
  <dimension ref="A1:E23"/>
  <sheetViews>
    <sheetView zoomScale="130" zoomScaleNormal="130" workbookViewId="0">
      <selection activeCell="A14" sqref="A14"/>
    </sheetView>
  </sheetViews>
  <sheetFormatPr defaultColWidth="9" defaultRowHeight="11.5" x14ac:dyDescent="0.25"/>
  <cols>
    <col min="1" max="1" width="19.69921875" style="5" customWidth="1"/>
    <col min="2" max="2" width="26.69921875" style="5" customWidth="1"/>
    <col min="3" max="3" width="60.5" style="5" customWidth="1"/>
    <col min="4" max="4" width="20.3984375" style="5" customWidth="1"/>
    <col min="5" max="16384" width="9" style="5"/>
  </cols>
  <sheetData>
    <row r="1" spans="1:5" x14ac:dyDescent="0.25">
      <c r="A1" s="5" t="s">
        <v>77</v>
      </c>
      <c r="B1" s="5" t="s">
        <v>167</v>
      </c>
      <c r="D1" s="5" t="s">
        <v>91</v>
      </c>
    </row>
    <row r="2" spans="1:5" x14ac:dyDescent="0.25">
      <c r="A2" s="5" t="s">
        <v>74</v>
      </c>
    </row>
    <row r="3" spans="1:5" x14ac:dyDescent="0.25">
      <c r="B3" s="6" t="s">
        <v>168</v>
      </c>
      <c r="C3" s="6" t="str">
        <f>B_train_history_path</f>
        <v>sample\sample.csv</v>
      </c>
    </row>
    <row r="4" spans="1:5" x14ac:dyDescent="0.25">
      <c r="B4" s="6" t="s">
        <v>105</v>
      </c>
      <c r="C4" s="6" t="str" cm="1">
        <f t="array" ref="C4">ThisWorkbookFilePath()</f>
        <v>C:\Users\mm11592\Documents\myFiles2\working\pyfemtet\pyfemtet\pyfemtet\opt\meta_script\YAML_Generator.xlsm</v>
      </c>
      <c r="D4" s="5" t="s">
        <v>91</v>
      </c>
    </row>
    <row r="5" spans="1:5" x14ac:dyDescent="0.25">
      <c r="B5" s="6" t="s">
        <v>106</v>
      </c>
      <c r="C5" s="6" t="str">
        <f>B_input_sheet_name</f>
        <v>最適化セットアップ2</v>
      </c>
    </row>
    <row r="6" spans="1:5" x14ac:dyDescent="0.25">
      <c r="B6" s="6" t="s">
        <v>138</v>
      </c>
      <c r="C6" s="6" t="s">
        <v>169</v>
      </c>
    </row>
    <row r="7" spans="1:5" x14ac:dyDescent="0.25">
      <c r="B7" s="6" t="s">
        <v>139</v>
      </c>
      <c r="C7" s="6" t="s">
        <v>169</v>
      </c>
    </row>
    <row r="8" spans="1:5" x14ac:dyDescent="0.25">
      <c r="B8" s="6" t="s">
        <v>149</v>
      </c>
      <c r="C8" s="6" t="s">
        <v>169</v>
      </c>
    </row>
    <row r="9" spans="1:5" x14ac:dyDescent="0.25">
      <c r="B9" s="6" t="s">
        <v>150</v>
      </c>
      <c r="C9" s="6" t="s">
        <v>169</v>
      </c>
    </row>
    <row r="10" spans="1:5" x14ac:dyDescent="0.25">
      <c r="A10" s="5" t="s">
        <v>79</v>
      </c>
      <c r="B10" s="5" t="s">
        <v>80</v>
      </c>
    </row>
    <row r="11" spans="1:5" x14ac:dyDescent="0.25">
      <c r="A11" s="5" t="s">
        <v>75</v>
      </c>
    </row>
    <row r="12" spans="1:5" x14ac:dyDescent="0.25">
      <c r="B12" s="6" t="s">
        <v>81</v>
      </c>
      <c r="C12" s="6" t="str" cm="1">
        <f t="array" ref="C12">NullValidador(B_sampler_class)</f>
        <v>TPESampler</v>
      </c>
    </row>
    <row r="13" spans="1:5" x14ac:dyDescent="0.25">
      <c r="B13" s="6" t="s">
        <v>82</v>
      </c>
      <c r="C13" s="6"/>
    </row>
    <row r="14" spans="1:5" x14ac:dyDescent="0.25">
      <c r="B14" s="6"/>
      <c r="C14" s="7" t="s">
        <v>83</v>
      </c>
      <c r="D14" s="7" t="str" cm="1">
        <f t="array" ref="D14">NullValidador(B_n_startup_trials)</f>
        <v>10</v>
      </c>
      <c r="E14" s="5" t="s">
        <v>92</v>
      </c>
    </row>
    <row r="15" spans="1:5" x14ac:dyDescent="0.25">
      <c r="B15" s="6"/>
      <c r="C15" s="7" t="s">
        <v>166</v>
      </c>
      <c r="D15" s="7" t="str" cm="1">
        <f t="array" ref="D15">NullValidador(B_population_size)</f>
        <v>10</v>
      </c>
      <c r="E15" s="5" t="s">
        <v>92</v>
      </c>
    </row>
    <row r="16" spans="1:5" x14ac:dyDescent="0.25">
      <c r="A16" s="5" t="s">
        <v>76</v>
      </c>
    </row>
    <row r="17" spans="1:4" x14ac:dyDescent="0.25">
      <c r="B17" s="6" t="s">
        <v>85</v>
      </c>
      <c r="C17" s="6" t="str" cm="1">
        <f t="array" ref="C17">NullValidador(B_n_trials)</f>
        <v>200</v>
      </c>
      <c r="D17" s="5" t="s">
        <v>92</v>
      </c>
    </row>
    <row r="18" spans="1:4" x14ac:dyDescent="0.25">
      <c r="B18" s="6" t="s">
        <v>90</v>
      </c>
      <c r="C18" s="6" t="str" cm="1">
        <f t="array" ref="C18">NullValidador(B_timeout)</f>
        <v>null</v>
      </c>
      <c r="D18" s="5" t="s">
        <v>92</v>
      </c>
    </row>
    <row r="19" spans="1:4" x14ac:dyDescent="0.25">
      <c r="B19" s="6" t="s">
        <v>86</v>
      </c>
      <c r="C19" s="6" t="b">
        <v>0</v>
      </c>
      <c r="D19" s="5" t="s">
        <v>91</v>
      </c>
    </row>
    <row r="20" spans="1:4" x14ac:dyDescent="0.25">
      <c r="B20" s="6" t="s">
        <v>89</v>
      </c>
      <c r="C20" s="6" t="str" cm="1">
        <f t="array" ref="C20">NullValidador(B_n_parallel)</f>
        <v>1</v>
      </c>
      <c r="D20" s="5" t="s">
        <v>92</v>
      </c>
    </row>
    <row r="21" spans="1:4" x14ac:dyDescent="0.25">
      <c r="B21" s="6" t="s">
        <v>84</v>
      </c>
      <c r="C21" s="6" t="str" cm="1">
        <f t="array" ref="C21">NullValidador(B_history_path)</f>
        <v>sample\surrogate_sample.csv</v>
      </c>
      <c r="D21" s="5" t="s">
        <v>92</v>
      </c>
    </row>
    <row r="22" spans="1:4" x14ac:dyDescent="0.25">
      <c r="A22" s="5" t="s">
        <v>87</v>
      </c>
      <c r="B22" s="5" t="str" cm="1">
        <f t="array" ref="B22">NullValidador(seed)</f>
        <v>null</v>
      </c>
    </row>
    <row r="23" spans="1:4" x14ac:dyDescent="0.25">
      <c r="A23" s="5" t="s">
        <v>137</v>
      </c>
      <c r="C23" s="5" t="s">
        <v>169</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1B2D3-0AF3-4236-A0D4-EBA7978BF7F4}">
  <sheetPr codeName="SYS_ShYAML3"/>
  <dimension ref="A1:E32"/>
  <sheetViews>
    <sheetView topLeftCell="A5" zoomScale="130" zoomScaleNormal="130" workbookViewId="0">
      <selection activeCell="C22" sqref="C22"/>
    </sheetView>
  </sheetViews>
  <sheetFormatPr defaultColWidth="9" defaultRowHeight="11.5" x14ac:dyDescent="0.25"/>
  <cols>
    <col min="1" max="1" width="19.69921875" style="5" customWidth="1"/>
    <col min="2" max="2" width="26.69921875" style="5" customWidth="1"/>
    <col min="3" max="3" width="60.5" style="5" customWidth="1"/>
    <col min="4" max="4" width="20.3984375" style="5" customWidth="1"/>
    <col min="5" max="16384" width="9" style="5"/>
  </cols>
  <sheetData>
    <row r="1" spans="1:4" x14ac:dyDescent="0.25">
      <c r="A1" s="5" t="s">
        <v>77</v>
      </c>
      <c r="B1" s="5" t="s">
        <v>183</v>
      </c>
      <c r="D1" s="5" t="s">
        <v>91</v>
      </c>
    </row>
    <row r="2" spans="1:4" x14ac:dyDescent="0.25">
      <c r="A2" s="5" t="s">
        <v>74</v>
      </c>
    </row>
    <row r="3" spans="1:4" x14ac:dyDescent="0.25">
      <c r="B3" s="6" t="s">
        <v>105</v>
      </c>
      <c r="C3" s="6" t="str" cm="1">
        <f t="array" ref="C3">ThisWorkbookFilePath()</f>
        <v>C:\Users\mm11592\Documents\myFiles2\working\pyfemtet\pyfemtet\pyfemtet\opt\meta_script\YAML_Generator.xlsm</v>
      </c>
      <c r="D3" s="5" t="s">
        <v>91</v>
      </c>
    </row>
    <row r="4" spans="1:4" x14ac:dyDescent="0.25">
      <c r="B4" s="6" t="s">
        <v>106</v>
      </c>
      <c r="C4" s="6" t="str">
        <f>C_input_sheet_name</f>
        <v>最適化セットアップ3</v>
      </c>
    </row>
    <row r="5" spans="1:4" x14ac:dyDescent="0.25">
      <c r="B5" s="6" t="s">
        <v>138</v>
      </c>
      <c r="C5" s="6" t="s">
        <v>148</v>
      </c>
    </row>
    <row r="6" spans="1:4" x14ac:dyDescent="0.25">
      <c r="B6" s="6" t="s">
        <v>139</v>
      </c>
      <c r="C6" s="6" t="s">
        <v>148</v>
      </c>
    </row>
    <row r="7" spans="1:4" x14ac:dyDescent="0.25">
      <c r="B7" s="6" t="s">
        <v>149</v>
      </c>
      <c r="C7" s="6" t="s">
        <v>148</v>
      </c>
    </row>
    <row r="8" spans="1:4" x14ac:dyDescent="0.25">
      <c r="B8" s="6" t="s">
        <v>150</v>
      </c>
      <c r="C8" s="6" t="s">
        <v>148</v>
      </c>
    </row>
    <row r="9" spans="1:4" x14ac:dyDescent="0.25">
      <c r="B9" s="6" t="s">
        <v>113</v>
      </c>
      <c r="C9" s="6" t="str">
        <f>C_procedure_name</f>
        <v>FemtetMacro.FemtetMain</v>
      </c>
    </row>
    <row r="10" spans="1:4" x14ac:dyDescent="0.25">
      <c r="B10" s="6" t="s">
        <v>140</v>
      </c>
      <c r="C10" s="6" t="s">
        <v>148</v>
      </c>
    </row>
    <row r="11" spans="1:4" x14ac:dyDescent="0.25">
      <c r="B11" s="6" t="s">
        <v>141</v>
      </c>
      <c r="C11" s="6" t="s">
        <v>148</v>
      </c>
    </row>
    <row r="12" spans="1:4" x14ac:dyDescent="0.25">
      <c r="B12" s="6" t="s">
        <v>142</v>
      </c>
      <c r="C12" s="6" t="str" cm="1">
        <f t="array" ref="C12">NullValidador(C_setup_procedure_name)</f>
        <v>PrePostModule.LaunchFemtet</v>
      </c>
    </row>
    <row r="13" spans="1:4" x14ac:dyDescent="0.25">
      <c r="B13" s="6" t="s">
        <v>143</v>
      </c>
      <c r="C13" s="6" t="s">
        <v>148</v>
      </c>
    </row>
    <row r="14" spans="1:4" x14ac:dyDescent="0.25">
      <c r="B14" s="6" t="s">
        <v>144</v>
      </c>
      <c r="C14" s="6" t="s">
        <v>148</v>
      </c>
    </row>
    <row r="15" spans="1:4" x14ac:dyDescent="0.25">
      <c r="B15" s="6" t="s">
        <v>146</v>
      </c>
      <c r="C15" s="6" t="str" cm="1">
        <f t="array" ref="C15">NullValidador( C_teardown_procedure_name)</f>
        <v>PrePostModule.ExitFemtet</v>
      </c>
    </row>
    <row r="16" spans="1:4" x14ac:dyDescent="0.25">
      <c r="B16" s="6" t="s">
        <v>145</v>
      </c>
      <c r="C16" s="6" t="s">
        <v>148</v>
      </c>
    </row>
    <row r="17" spans="1:5" x14ac:dyDescent="0.25">
      <c r="B17" s="6" t="s">
        <v>147</v>
      </c>
      <c r="C17" s="6" t="s">
        <v>148</v>
      </c>
    </row>
    <row r="18" spans="1:5" x14ac:dyDescent="0.25">
      <c r="A18" s="5" t="s">
        <v>79</v>
      </c>
      <c r="B18" s="5" t="s">
        <v>80</v>
      </c>
    </row>
    <row r="19" spans="1:5" x14ac:dyDescent="0.25">
      <c r="A19" s="5" t="s">
        <v>75</v>
      </c>
    </row>
    <row r="20" spans="1:5" x14ac:dyDescent="0.25">
      <c r="B20" s="6" t="s">
        <v>81</v>
      </c>
      <c r="C20" s="6" t="str" cm="1">
        <f t="array" ref="C20">NullValidador(sampler_class)</f>
        <v>RandomSampler</v>
      </c>
    </row>
    <row r="21" spans="1:5" x14ac:dyDescent="0.25">
      <c r="B21" s="6" t="s">
        <v>82</v>
      </c>
      <c r="C21" s="6"/>
    </row>
    <row r="22" spans="1:5" x14ac:dyDescent="0.25">
      <c r="B22" s="6"/>
      <c r="C22" s="7" t="s">
        <v>83</v>
      </c>
      <c r="D22" s="7" t="str" cm="1">
        <f t="array" ref="D22">NullValidador(C_n_startup_trials)</f>
        <v>10</v>
      </c>
      <c r="E22" s="5" t="s">
        <v>92</v>
      </c>
    </row>
    <row r="23" spans="1:5" x14ac:dyDescent="0.25">
      <c r="B23" s="6"/>
      <c r="C23" s="7" t="s">
        <v>166</v>
      </c>
      <c r="D23" s="7" t="str" cm="1">
        <f t="array" ref="D23">NullValidador(C_population_size)</f>
        <v>10</v>
      </c>
      <c r="E23" s="5" t="s">
        <v>92</v>
      </c>
    </row>
    <row r="24" spans="1:5" x14ac:dyDescent="0.25">
      <c r="A24" s="5" t="s">
        <v>76</v>
      </c>
    </row>
    <row r="25" spans="1:5" x14ac:dyDescent="0.25">
      <c r="B25" s="6" t="s">
        <v>85</v>
      </c>
      <c r="C25" s="6" t="str" cm="1">
        <f t="array" ref="C25">NullValidador(C_n_trials)</f>
        <v>20</v>
      </c>
      <c r="D25" s="5" t="s">
        <v>92</v>
      </c>
    </row>
    <row r="26" spans="1:5" x14ac:dyDescent="0.25">
      <c r="B26" s="6" t="s">
        <v>90</v>
      </c>
      <c r="C26" s="6" t="str" cm="1">
        <f t="array" ref="C26">NullValidador(C_timeout)</f>
        <v>null</v>
      </c>
      <c r="D26" s="5" t="s">
        <v>92</v>
      </c>
    </row>
    <row r="27" spans="1:5" x14ac:dyDescent="0.25">
      <c r="B27" s="6" t="s">
        <v>86</v>
      </c>
      <c r="C27" s="6" t="b">
        <v>0</v>
      </c>
      <c r="D27" s="5" t="s">
        <v>91</v>
      </c>
    </row>
    <row r="28" spans="1:5" x14ac:dyDescent="0.25">
      <c r="B28" s="6" t="s">
        <v>89</v>
      </c>
      <c r="C28" s="6" t="str" cm="1">
        <f t="array" ref="C28">NullValidador(C_n_parallel)</f>
        <v>1</v>
      </c>
      <c r="D28" s="5" t="s">
        <v>92</v>
      </c>
    </row>
    <row r="29" spans="1:5" x14ac:dyDescent="0.25">
      <c r="B29" s="6" t="s">
        <v>84</v>
      </c>
      <c r="C29" s="6" t="str" cm="1">
        <f t="array" ref="C29">NullValidador(C_history_path)</f>
        <v>sample\macro_sample.csv</v>
      </c>
      <c r="D29" s="5" t="s">
        <v>92</v>
      </c>
    </row>
    <row r="30" spans="1:5" x14ac:dyDescent="0.25">
      <c r="A30" s="5" t="s">
        <v>87</v>
      </c>
      <c r="B30" s="5" t="str" cm="1">
        <f t="array" ref="B30">NullValidador(seed)</f>
        <v>null</v>
      </c>
    </row>
    <row r="31" spans="1:5" x14ac:dyDescent="0.25">
      <c r="A31" s="5" t="s">
        <v>137</v>
      </c>
    </row>
    <row r="32" spans="1:5" x14ac:dyDescent="0.25">
      <c r="B32" s="8" t="str">
        <f>IF(additional_module_path = "", "", "-")</f>
        <v/>
      </c>
      <c r="C32" s="6" t="str">
        <f>IF(additional_module_path = "", "", additional_module_path)</f>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F59"/>
  <sheetViews>
    <sheetView showGridLines="0" tabSelected="1" workbookViewId="0">
      <selection activeCell="T9" sqref="T9"/>
    </sheetView>
  </sheetViews>
  <sheetFormatPr defaultRowHeight="11.5" outlineLevelRow="2" x14ac:dyDescent="0.25"/>
  <cols>
    <col min="1" max="1" width="11" customWidth="1"/>
  </cols>
  <sheetData>
    <row r="2" spans="2:3" s="1" customFormat="1" ht="19.5" thickBot="1" x14ac:dyDescent="0.3">
      <c r="B2" s="1" t="s">
        <v>19</v>
      </c>
    </row>
    <row r="3" spans="2:3" ht="12" thickTop="1" x14ac:dyDescent="0.25"/>
    <row r="4" spans="2:3" x14ac:dyDescent="0.25">
      <c r="C4" t="s">
        <v>73</v>
      </c>
    </row>
    <row r="6" spans="2:3" x14ac:dyDescent="0.25">
      <c r="C6" t="s">
        <v>21</v>
      </c>
    </row>
    <row r="7" spans="2:3" x14ac:dyDescent="0.25">
      <c r="C7" t="s">
        <v>20</v>
      </c>
    </row>
    <row r="8" spans="2:3" x14ac:dyDescent="0.25">
      <c r="C8" t="s">
        <v>22</v>
      </c>
    </row>
    <row r="9" spans="2:3" x14ac:dyDescent="0.25">
      <c r="C9" t="s">
        <v>23</v>
      </c>
    </row>
    <row r="11" spans="2:3" x14ac:dyDescent="0.25">
      <c r="C11" t="s">
        <v>24</v>
      </c>
    </row>
    <row r="13" spans="2:3" x14ac:dyDescent="0.25">
      <c r="C13" t="s">
        <v>25</v>
      </c>
    </row>
    <row r="14" spans="2:3" x14ac:dyDescent="0.25">
      <c r="C14" t="s">
        <v>45</v>
      </c>
    </row>
    <row r="15" spans="2:3" x14ac:dyDescent="0.25">
      <c r="C15" t="s">
        <v>46</v>
      </c>
    </row>
    <row r="18" spans="3:6" s="2" customFormat="1" ht="14.5" thickBot="1" x14ac:dyDescent="0.3">
      <c r="C18" s="2" t="s">
        <v>1</v>
      </c>
      <c r="F18" s="2" t="s">
        <v>72</v>
      </c>
    </row>
    <row r="20" spans="3:6" collapsed="1" x14ac:dyDescent="0.25">
      <c r="C20" t="s">
        <v>26</v>
      </c>
    </row>
    <row r="21" spans="3:6" hidden="1" outlineLevel="1" x14ac:dyDescent="0.25">
      <c r="C21" t="s">
        <v>27</v>
      </c>
    </row>
    <row r="22" spans="3:6" hidden="1" outlineLevel="1" x14ac:dyDescent="0.25">
      <c r="C22" t="s">
        <v>35</v>
      </c>
      <c r="F22" t="s">
        <v>48</v>
      </c>
    </row>
    <row r="23" spans="3:6" hidden="1" outlineLevel="1" x14ac:dyDescent="0.25">
      <c r="C23" t="s">
        <v>29</v>
      </c>
      <c r="F23" t="s">
        <v>42</v>
      </c>
    </row>
    <row r="24" spans="3:6" hidden="1" outlineLevel="1" x14ac:dyDescent="0.25">
      <c r="C24" t="s">
        <v>30</v>
      </c>
      <c r="F24" t="s">
        <v>43</v>
      </c>
    </row>
    <row r="25" spans="3:6" hidden="1" outlineLevel="1" x14ac:dyDescent="0.25">
      <c r="C25" t="s">
        <v>31</v>
      </c>
      <c r="F25" t="s">
        <v>44</v>
      </c>
    </row>
    <row r="26" spans="3:6" hidden="1" outlineLevel="1" x14ac:dyDescent="0.25">
      <c r="C26" t="s">
        <v>28</v>
      </c>
    </row>
    <row r="27" spans="3:6" hidden="1" outlineLevel="2" x14ac:dyDescent="0.25">
      <c r="C27" t="s">
        <v>32</v>
      </c>
      <c r="F27" t="s">
        <v>49</v>
      </c>
    </row>
    <row r="28" spans="3:6" hidden="1" outlineLevel="2" x14ac:dyDescent="0.25">
      <c r="F28" t="s">
        <v>50</v>
      </c>
    </row>
    <row r="29" spans="3:6" hidden="1" outlineLevel="2" x14ac:dyDescent="0.25">
      <c r="F29" t="s">
        <v>51</v>
      </c>
    </row>
    <row r="30" spans="3:6" hidden="1" outlineLevel="2" x14ac:dyDescent="0.25">
      <c r="C30" t="s">
        <v>33</v>
      </c>
      <c r="F30" t="s">
        <v>57</v>
      </c>
    </row>
    <row r="32" spans="3:6" collapsed="1" x14ac:dyDescent="0.25">
      <c r="C32" t="s">
        <v>34</v>
      </c>
    </row>
    <row r="33" spans="3:6" hidden="1" outlineLevel="1" x14ac:dyDescent="0.25">
      <c r="C33" t="s">
        <v>27</v>
      </c>
    </row>
    <row r="34" spans="3:6" hidden="1" outlineLevel="1" x14ac:dyDescent="0.25">
      <c r="C34" t="s">
        <v>36</v>
      </c>
      <c r="F34" t="s">
        <v>47</v>
      </c>
    </row>
    <row r="35" spans="3:6" hidden="1" outlineLevel="1" x14ac:dyDescent="0.25">
      <c r="C35" t="s">
        <v>29</v>
      </c>
      <c r="F35" t="s">
        <v>53</v>
      </c>
    </row>
    <row r="36" spans="3:6" hidden="1" outlineLevel="1" x14ac:dyDescent="0.25">
      <c r="F36" t="s">
        <v>54</v>
      </c>
    </row>
    <row r="37" spans="3:6" hidden="1" outlineLevel="1" x14ac:dyDescent="0.25">
      <c r="F37" t="s">
        <v>52</v>
      </c>
    </row>
    <row r="38" spans="3:6" hidden="1" outlineLevel="1" x14ac:dyDescent="0.25">
      <c r="C38" t="s">
        <v>37</v>
      </c>
      <c r="F38" t="s">
        <v>55</v>
      </c>
    </row>
    <row r="39" spans="3:6" hidden="1" outlineLevel="1" x14ac:dyDescent="0.25">
      <c r="C39" t="s">
        <v>28</v>
      </c>
    </row>
    <row r="40" spans="3:6" hidden="1" outlineLevel="2" x14ac:dyDescent="0.25">
      <c r="C40" t="s">
        <v>33</v>
      </c>
      <c r="F40" t="s">
        <v>56</v>
      </c>
    </row>
    <row r="42" spans="3:6" collapsed="1" x14ac:dyDescent="0.25">
      <c r="C42" t="s">
        <v>38</v>
      </c>
    </row>
    <row r="43" spans="3:6" hidden="1" outlineLevel="1" x14ac:dyDescent="0.25">
      <c r="C43" t="s">
        <v>27</v>
      </c>
    </row>
    <row r="44" spans="3:6" hidden="1" outlineLevel="1" x14ac:dyDescent="0.25">
      <c r="C44" t="s">
        <v>39</v>
      </c>
      <c r="F44" t="s">
        <v>58</v>
      </c>
    </row>
    <row r="45" spans="3:6" hidden="1" outlineLevel="1" x14ac:dyDescent="0.25">
      <c r="C45" t="s">
        <v>29</v>
      </c>
      <c r="F45" t="s">
        <v>59</v>
      </c>
    </row>
    <row r="46" spans="3:6" hidden="1" outlineLevel="1" x14ac:dyDescent="0.25"/>
    <row r="47" spans="3:6" hidden="1" outlineLevel="1" x14ac:dyDescent="0.25">
      <c r="F47" t="s">
        <v>61</v>
      </c>
    </row>
    <row r="48" spans="3:6" hidden="1" outlineLevel="1" x14ac:dyDescent="0.25">
      <c r="F48" t="s">
        <v>60</v>
      </c>
    </row>
    <row r="49" spans="3:6" hidden="1" outlineLevel="1" x14ac:dyDescent="0.25">
      <c r="F49" t="s">
        <v>62</v>
      </c>
    </row>
    <row r="50" spans="3:6" hidden="1" outlineLevel="1" x14ac:dyDescent="0.25">
      <c r="C50" t="s">
        <v>28</v>
      </c>
    </row>
    <row r="51" spans="3:6" hidden="1" outlineLevel="2" x14ac:dyDescent="0.25">
      <c r="C51" t="s">
        <v>30</v>
      </c>
      <c r="F51" t="s">
        <v>63</v>
      </c>
    </row>
    <row r="52" spans="3:6" hidden="1" outlineLevel="2" x14ac:dyDescent="0.25">
      <c r="C52" t="s">
        <v>31</v>
      </c>
      <c r="F52" t="s">
        <v>64</v>
      </c>
    </row>
    <row r="53" spans="3:6" hidden="1" outlineLevel="2" x14ac:dyDescent="0.25">
      <c r="C53" t="s">
        <v>40</v>
      </c>
      <c r="F53" t="s">
        <v>66</v>
      </c>
    </row>
    <row r="54" spans="3:6" hidden="1" outlineLevel="2" x14ac:dyDescent="0.25">
      <c r="F54" t="s">
        <v>67</v>
      </c>
    </row>
    <row r="55" spans="3:6" hidden="1" outlineLevel="2" x14ac:dyDescent="0.25">
      <c r="F55" t="s">
        <v>68</v>
      </c>
    </row>
    <row r="56" spans="3:6" hidden="1" outlineLevel="2" x14ac:dyDescent="0.25">
      <c r="F56" t="s">
        <v>69</v>
      </c>
    </row>
    <row r="57" spans="3:6" hidden="1" outlineLevel="2" x14ac:dyDescent="0.25">
      <c r="F57" t="s">
        <v>65</v>
      </c>
    </row>
    <row r="58" spans="3:6" hidden="1" outlineLevel="2" x14ac:dyDescent="0.25">
      <c r="C58" t="s">
        <v>33</v>
      </c>
      <c r="F58" t="s">
        <v>70</v>
      </c>
    </row>
    <row r="59" spans="3:6" hidden="1" outlineLevel="2" x14ac:dyDescent="0.25">
      <c r="C59" t="s">
        <v>41</v>
      </c>
      <c r="F59" t="s">
        <v>71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25"/>
  <sheetViews>
    <sheetView showGridLines="0" zoomScaleNormal="100" workbookViewId="0">
      <selection activeCell="N31" sqref="N31"/>
    </sheetView>
  </sheetViews>
  <sheetFormatPr defaultRowHeight="11.5" x14ac:dyDescent="0.25"/>
  <sheetData>
    <row r="2" spans="2:4" s="1" customFormat="1" ht="19.5" thickBot="1" x14ac:dyDescent="0.3">
      <c r="B2" s="1" t="s">
        <v>15</v>
      </c>
    </row>
    <row r="3" spans="2:4" ht="12" thickTop="1" x14ac:dyDescent="0.25"/>
    <row r="4" spans="2:4" x14ac:dyDescent="0.25">
      <c r="C4" t="s">
        <v>18</v>
      </c>
    </row>
    <row r="6" spans="2:4" x14ac:dyDescent="0.25">
      <c r="D6" t="s">
        <v>126</v>
      </c>
    </row>
    <row r="7" spans="2:4" x14ac:dyDescent="0.25">
      <c r="D7" t="s">
        <v>16</v>
      </c>
    </row>
    <row r="8" spans="2:4" x14ac:dyDescent="0.25">
      <c r="D8" t="s">
        <v>17</v>
      </c>
    </row>
    <row r="10" spans="2:4" x14ac:dyDescent="0.25">
      <c r="C10" t="s">
        <v>119</v>
      </c>
    </row>
    <row r="11" spans="2:4" x14ac:dyDescent="0.25">
      <c r="C11" t="s">
        <v>120</v>
      </c>
    </row>
    <row r="14" spans="2:4" s="1" customFormat="1" ht="19.5" thickBot="1" x14ac:dyDescent="0.3">
      <c r="B14" s="1" t="s">
        <v>93</v>
      </c>
    </row>
    <row r="15" spans="2:4" ht="12" thickTop="1" x14ac:dyDescent="0.25"/>
    <row r="16" spans="2:4" x14ac:dyDescent="0.25">
      <c r="C16" t="s">
        <v>94</v>
      </c>
    </row>
    <row r="17" spans="3:3" x14ac:dyDescent="0.25">
      <c r="C17" t="s">
        <v>95</v>
      </c>
    </row>
    <row r="18" spans="3:3" x14ac:dyDescent="0.25">
      <c r="C18" t="s">
        <v>96</v>
      </c>
    </row>
    <row r="19" spans="3:3" x14ac:dyDescent="0.25">
      <c r="C19" t="s">
        <v>97</v>
      </c>
    </row>
    <row r="20" spans="3:3" x14ac:dyDescent="0.25">
      <c r="C20" t="s">
        <v>98</v>
      </c>
    </row>
    <row r="21" spans="3:3" x14ac:dyDescent="0.25">
      <c r="C21" t="s">
        <v>99</v>
      </c>
    </row>
    <row r="22" spans="3:3" x14ac:dyDescent="0.25">
      <c r="C22" t="s">
        <v>100</v>
      </c>
    </row>
    <row r="23" spans="3:3" x14ac:dyDescent="0.25">
      <c r="C23" t="s">
        <v>101</v>
      </c>
    </row>
    <row r="24" spans="3:3" x14ac:dyDescent="0.25">
      <c r="C24" t="s">
        <v>102</v>
      </c>
    </row>
    <row r="25" spans="3:3" x14ac:dyDescent="0.25">
      <c r="C25" t="s">
        <v>103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36</vt:i4>
      </vt:variant>
    </vt:vector>
  </HeadingPairs>
  <TitlesOfParts>
    <vt:vector size="46" baseType="lpstr">
      <vt:lpstr>インストール</vt:lpstr>
      <vt:lpstr>最適化セットアップ</vt:lpstr>
      <vt:lpstr>最適化セットアップ2</vt:lpstr>
      <vt:lpstr>最適化セットアップ3</vt:lpstr>
      <vt:lpstr>実行設定</vt:lpstr>
      <vt:lpstr>yaml_Femtet</vt:lpstr>
      <vt:lpstr>yaml_GP</vt:lpstr>
      <vt:lpstr>yaml_Excel</vt:lpstr>
      <vt:lpstr>最適化セットアップシートの書式説明</vt:lpstr>
      <vt:lpstr>備考</vt:lpstr>
      <vt:lpstr>additional_module_path</vt:lpstr>
      <vt:lpstr>B_history_path</vt:lpstr>
      <vt:lpstr>B_input_sheet_name</vt:lpstr>
      <vt:lpstr>B_n_parallel</vt:lpstr>
      <vt:lpstr>B_n_startup_trials</vt:lpstr>
      <vt:lpstr>B_n_trials</vt:lpstr>
      <vt:lpstr>B_population_size</vt:lpstr>
      <vt:lpstr>B_sampler_class</vt:lpstr>
      <vt:lpstr>B_seed</vt:lpstr>
      <vt:lpstr>B_timeout</vt:lpstr>
      <vt:lpstr>B_train_history_path</vt:lpstr>
      <vt:lpstr>C_history_path</vt:lpstr>
      <vt:lpstr>C_input_sheet_name</vt:lpstr>
      <vt:lpstr>C_n_parallel</vt:lpstr>
      <vt:lpstr>C_n_startup_trials</vt:lpstr>
      <vt:lpstr>C_n_trials</vt:lpstr>
      <vt:lpstr>C_population_size</vt:lpstr>
      <vt:lpstr>C_procedure_name</vt:lpstr>
      <vt:lpstr>C_sampler_class</vt:lpstr>
      <vt:lpstr>C_seed</vt:lpstr>
      <vt:lpstr>C_setup_procedure_name</vt:lpstr>
      <vt:lpstr>C_teardown_procedure_name</vt:lpstr>
      <vt:lpstr>C_timeout</vt:lpstr>
      <vt:lpstr>femprj_path</vt:lpstr>
      <vt:lpstr>history_csv_path</vt:lpstr>
      <vt:lpstr>input_sheet_name</vt:lpstr>
      <vt:lpstr>model_name</vt:lpstr>
      <vt:lpstr>n_parallel</vt:lpstr>
      <vt:lpstr>n_startup_trials</vt:lpstr>
      <vt:lpstr>n_trials</vt:lpstr>
      <vt:lpstr>population_size</vt:lpstr>
      <vt:lpstr>python_exe_path</vt:lpstr>
      <vt:lpstr>sampler_class</vt:lpstr>
      <vt:lpstr>seed</vt:lpstr>
      <vt:lpstr>timeout</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2025-05-08T11:28:22Z</dcterms:modified>
</cp:coreProperties>
</file>